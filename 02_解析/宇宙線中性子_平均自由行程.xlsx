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均自由行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1"/>
    </font>
    <font>
      <b val="1"/>
      <sz val="13"/>
    </font>
    <font>
      <color rgb="00666666"/>
      <sz val="10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  <font>
      <b val="1"/>
      <color rgb="001F77B4"/>
      <sz val="1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2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フラックスの高度依存（管理棟1階基準、熱中性子 λ = 1475 m）</a:t>
            </a:r>
          </a:p>
        </rich>
      </tx>
    </title>
    <plotArea>
      <scatterChart>
        <ser>
          <idx val="0"/>
          <order val="0"/>
          <tx>
            <v>熱中性子（測定）</v>
          </tx>
          <spPr>
            <a:ln>
              <a:noFill/>
              <a:prstDash val="solid"/>
            </a:ln>
          </spPr>
          <marker>
            <symbol val="circle"/>
            <size val="11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'平均自由行程'!$B$28:$B$30</f>
            </numRef>
          </xVal>
          <yVal>
            <numRef>
              <f>'平均自由行程'!$C$28:$C$30</f>
            </numRef>
          </yVal>
        </ser>
        <ser>
          <idx val="1"/>
          <order val="1"/>
          <tx>
            <v>MeV（測定）</v>
          </tx>
          <spPr>
            <a:ln>
              <a:noFill/>
              <a:prstDash val="solid"/>
            </a:ln>
          </spPr>
          <marker>
            <symbol val="triangle"/>
            <size val="12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'平均自由行程'!$B$28:$B$30</f>
            </numRef>
          </xVal>
          <yVal>
            <numRef>
              <f>'平均自由行程'!$D$28:$D$30</f>
            </numRef>
          </yVal>
        </ser>
        <ser>
          <idx val="2"/>
          <order val="2"/>
          <tx>
            <v>熱 予測 (1475 m)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'平均自由行程'!$F$28:$F$38</f>
            </numRef>
          </xVal>
          <yVal>
            <numRef>
              <f>'平均自由行程'!$G$28:$G$38</f>
            </numRef>
          </yVal>
        </ser>
        <ser>
          <idx val="3"/>
          <order val="3"/>
          <tx>
            <v>MeV 予測 (999 m)</v>
          </tx>
          <spPr>
            <a:ln w="18000">
              <a:solidFill>
                <a:srgbClr val="D627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'平均自由行程'!$F$28:$F$38</f>
            </numRef>
          </xVal>
          <yVal>
            <numRef>
              <f>'平均自由行程'!$H$28:$H$38</f>
            </numRef>
          </yVal>
        </ser>
        <axId val="10"/>
        <axId val="20"/>
      </scatterChart>
      <valAx>
        <axId val="10"/>
        <scaling>
          <orientation val="minMax"/>
          <max val="2200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inorGridlines>
          <spPr>
            <a:ln w="6350">
              <a:solidFill>
                <a:srgbClr val="EFEFEF"/>
              </a:solidFill>
              <a:prstDash val="solid"/>
            </a:ln>
          </spPr>
        </minorGridlines>
        <title>
          <tx>
            <rich>
              <a:bodyPr/>
              <a:p>
                <a:pPr>
                  <a:defRPr/>
                </a:pPr>
                <a:r>
                  <a:t>標高差 Δh (m)</a:t>
                </a:r>
              </a:p>
            </rich>
          </tx>
        </title>
        <numFmt formatCode="#,##0" sourceLinked="0"/>
        <majorTickMark val="out"/>
        <minorTickMark val="out"/>
        <tickLblPos val="nextTo"/>
        <spPr>
          <a:ln w="15875">
            <a:solidFill>
              <a:srgbClr val="000000"/>
            </a:solidFill>
            <a:prstDash val="solid"/>
          </a:ln>
        </spPr>
        <crossAx val="20"/>
        <majorUnit val="400"/>
        <minorUnit val="200"/>
      </valAx>
      <valAx>
        <axId val="20"/>
        <scaling>
          <orientation val="minMax"/>
          <max val="8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inorGridlines>
          <spPr>
            <a:ln w="6350">
              <a:solidFill>
                <a:srgbClr val="EFEFEF"/>
              </a:solidFill>
              <a:prstDash val="solid"/>
            </a:ln>
          </spPr>
        </minorGridlines>
        <title>
          <tx>
            <rich>
              <a:bodyPr/>
              <a:p>
                <a:pPr>
                  <a:defRPr/>
                </a:pPr>
                <a:r>
                  <a:t>フラックス (×10⁻³ s⁻¹ cm⁻²)</a:t>
                </a:r>
              </a:p>
            </rich>
          </tx>
        </title>
        <numFmt formatCode="0.0" sourceLinked="0"/>
        <majorTickMark val="out"/>
        <minorTickMark val="out"/>
        <tickLblPos val="nextTo"/>
        <spPr>
          <a:ln w="15875">
            <a:solidFill>
              <a:srgbClr val="000000"/>
            </a:solidFill>
            <a:prstDash val="solid"/>
          </a:ln>
        </spPr>
        <crossAx val="10"/>
        <majorUnit val="1"/>
        <minorUnit val="0.5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22" customWidth="1" min="4" max="4"/>
    <col width="18" customWidth="1" min="5" max="5"/>
    <col width="16" customWidth="1" min="6" max="6"/>
    <col width="22" customWidth="1" min="7" max="7"/>
    <col width="22" customWidth="1" min="8" max="8"/>
    <col width="4" customWidth="1" min="9" max="9"/>
  </cols>
  <sheetData>
    <row r="2" ht="30" customHeight="1">
      <c r="B2" s="1" t="inlineStr">
        <is>
          <t>宇宙線中性子の平均自由行程</t>
        </is>
      </c>
    </row>
    <row r="3">
      <c r="B3" s="2" t="inlineStr">
        <is>
          <t>昨年度 KEKサマーチャレンジ9班（熱中性子・管理棟1階基準）</t>
        </is>
      </c>
    </row>
    <row r="5">
      <c r="B5" s="3" t="inlineStr">
        <is>
          <t>計算式（昨年と同じ）</t>
        </is>
      </c>
    </row>
    <row r="6">
      <c r="B6" s="3" t="inlineStr">
        <is>
          <t>λ = Δh / ln(φ₂/φ₁)　　［m］</t>
        </is>
      </c>
    </row>
    <row r="7">
      <c r="B7" s="3" t="inlineStr">
        <is>
          <t>Λ = ρ_air Δh / ln(φ₂/φ₁)　　［g/cm²］　　（ρ_air = 1.00×10⁻³ g/cm³ → λ [m] = 10 × Λ）</t>
        </is>
      </c>
    </row>
    <row r="8">
      <c r="B8" s="4" t="inlineStr">
        <is>
          <t>空気は一様密度。標高差 Δh = 2000 m（白根山≈2000 m、KEK≈0 m）。標準大気の X(h) は使わない。</t>
        </is>
      </c>
    </row>
    <row r="10">
      <c r="B10" s="3" t="inlineStr">
        <is>
          <t>使用データ</t>
        </is>
      </c>
    </row>
    <row r="11" ht="28" customHeight="1">
      <c r="B11" s="5" t="inlineStr">
        <is>
          <t>地点</t>
        </is>
      </c>
      <c r="C11" s="5" t="inlineStr">
        <is>
          <t>標高差 Δh (m)</t>
        </is>
      </c>
      <c r="D11" s="5" t="inlineStr">
        <is>
          <t>熱中性子 φ (×10⁻³)</t>
        </is>
      </c>
      <c r="E11" s="5" t="inlineStr">
        <is>
          <t>MeV φ (×10⁻³)</t>
        </is>
      </c>
    </row>
    <row r="12">
      <c r="B12" s="6" t="inlineStr">
        <is>
          <t>管理棟1階（基準）</t>
        </is>
      </c>
      <c r="C12" s="7" t="n">
        <v>0</v>
      </c>
      <c r="D12" s="8" t="n">
        <v>1.83</v>
      </c>
      <c r="E12" s="8" t="n">
        <v>0.725</v>
      </c>
    </row>
    <row r="13">
      <c r="B13" s="6" t="inlineStr">
        <is>
          <t>筑波山</t>
        </is>
      </c>
      <c r="C13" s="7" t="n">
        <v>877</v>
      </c>
      <c r="D13" s="8" t="n">
        <v>3.12</v>
      </c>
      <c r="E13" s="8" t="n">
        <v>1.89</v>
      </c>
    </row>
    <row r="14">
      <c r="B14" s="6" t="inlineStr">
        <is>
          <t>白根山</t>
        </is>
      </c>
      <c r="C14" s="7" t="n">
        <v>2000</v>
      </c>
      <c r="D14" s="8" t="n">
        <v>7.100000000000001</v>
      </c>
      <c r="E14" s="8" t="n">
        <v>5.37</v>
      </c>
    </row>
    <row r="15">
      <c r="B15" s="4" t="inlineStr">
        <is>
          <t>フラックスは公開表の値。標高差は昨年どおり白根山を 2000 m と近似。地理的な標高は KEK≈30 m、草津白根≈2160 m。</t>
        </is>
      </c>
    </row>
    <row r="17">
      <c r="B17" s="3" t="inlineStr">
        <is>
          <t>計算結果（管理棟1階 → 白根山、Δh = 2000 m）</t>
        </is>
      </c>
    </row>
    <row r="18" ht="28" customHeight="1">
      <c r="B18" s="5" t="inlineStr">
        <is>
          <t>領域</t>
        </is>
      </c>
      <c r="C18" s="5" t="inlineStr">
        <is>
          <t>φ₂/φ₁</t>
        </is>
      </c>
      <c r="D18" s="5" t="inlineStr">
        <is>
          <t>Λ (g/cm²)</t>
        </is>
      </c>
      <c r="E18" s="5" t="inlineStr">
        <is>
          <t>λ (m)</t>
        </is>
      </c>
      <c r="F18" s="5" t="inlineStr">
        <is>
          <t>備考</t>
        </is>
      </c>
    </row>
    <row r="19">
      <c r="B19" s="9" t="inlineStr">
        <is>
          <t>熱中性子</t>
        </is>
      </c>
      <c r="C19" s="10" t="n">
        <v>3.879781420765028</v>
      </c>
      <c r="D19" s="11" t="n">
        <v>147.5166874298424</v>
      </c>
      <c r="E19" s="12" t="n">
        <v>1475</v>
      </c>
      <c r="F19" s="9" t="inlineStr">
        <is>
          <t>昨年の主結果</t>
        </is>
      </c>
    </row>
    <row r="20">
      <c r="B20" s="6" t="inlineStr">
        <is>
          <t>MeV領域</t>
        </is>
      </c>
      <c r="C20" s="8" t="n">
        <v>7.406896551724138</v>
      </c>
      <c r="D20" s="13" t="n">
        <v>99.87956857973913</v>
      </c>
      <c r="E20" s="7" t="n">
        <v>999</v>
      </c>
      <c r="F20" s="6" t="inlineStr">
        <is>
          <t>同じ定義での参考</t>
        </is>
      </c>
    </row>
    <row r="22">
      <c r="B22" s="14" t="inlineStr">
        <is>
          <t>主結果</t>
        </is>
      </c>
      <c r="C22" s="15" t="inlineStr">
        <is>
          <t>熱中性子の平均自由行程  λ = 1475 m</t>
        </is>
      </c>
    </row>
    <row r="23">
      <c r="C23" s="4" t="inlineStr">
        <is>
          <t>管理棟1階→白根山、Δh = 2000 m、Λ = 148 g/cm²、ρ_air = 1.00×10⁻³ g/cm³。昨年と同じ定義。</t>
        </is>
      </c>
    </row>
    <row r="24">
      <c r="C24" s="4" t="inlineStr">
        <is>
          <t>1730 m になる計算法は、標準大気の大気深度 X(h) を使った場合。空気が高度とともに薄くなるため ΔX が大きくなり、λ も長めに出る。</t>
        </is>
      </c>
    </row>
    <row r="26">
      <c r="B26" s="3" t="inlineStr">
        <is>
          <t>グラフ用</t>
        </is>
      </c>
    </row>
    <row r="27" ht="28" customHeight="1">
      <c r="B27" s="5" t="inlineStr">
        <is>
          <t>標高差 (m)</t>
        </is>
      </c>
      <c r="C27" s="5" t="inlineStr">
        <is>
          <t>熱 φ (×10⁻³)</t>
        </is>
      </c>
      <c r="D27" s="5" t="inlineStr">
        <is>
          <t>MeV φ (×10⁻³)</t>
        </is>
      </c>
      <c r="F27" s="5" t="inlineStr">
        <is>
          <t>標高差 (m)</t>
        </is>
      </c>
      <c r="G27" s="5" t="inlineStr">
        <is>
          <t>熱 予測 (λ=1475 m)</t>
        </is>
      </c>
      <c r="H27" s="5" t="inlineStr">
        <is>
          <t>MeV 予測 (λ=999 m)</t>
        </is>
      </c>
    </row>
    <row r="28">
      <c r="B28" s="7" t="n">
        <v>0</v>
      </c>
      <c r="C28" s="8" t="n">
        <v>1.83</v>
      </c>
      <c r="D28" s="8" t="n">
        <v>0.725</v>
      </c>
      <c r="F28" s="7" t="n">
        <v>0</v>
      </c>
      <c r="G28" s="8" t="n">
        <v>1.83</v>
      </c>
      <c r="H28" s="8" t="n">
        <v>0.725</v>
      </c>
    </row>
    <row r="29">
      <c r="B29" s="7" t="n">
        <v>877</v>
      </c>
      <c r="C29" s="8" t="n">
        <v>3.12</v>
      </c>
      <c r="D29" s="8" t="n">
        <v>1.89</v>
      </c>
      <c r="F29" s="7" t="n">
        <v>200</v>
      </c>
      <c r="G29" s="8" t="n">
        <v>2.095713039756236</v>
      </c>
      <c r="H29" s="8" t="n">
        <v>0.8857305707322942</v>
      </c>
    </row>
    <row r="30">
      <c r="B30" s="7" t="n">
        <v>2000</v>
      </c>
      <c r="C30" s="8" t="n">
        <v>7.100000000000001</v>
      </c>
      <c r="D30" s="8" t="n">
        <v>5.37</v>
      </c>
      <c r="F30" s="7" t="n">
        <v>400</v>
      </c>
      <c r="G30" s="8" t="n">
        <v>2.400007183062472</v>
      </c>
      <c r="H30" s="8" t="n">
        <v>1.082094681282422</v>
      </c>
    </row>
    <row r="31">
      <c r="F31" s="7" t="n">
        <v>600</v>
      </c>
      <c r="G31" s="8" t="n">
        <v>2.748484343744619</v>
      </c>
      <c r="H31" s="8" t="n">
        <v>1.321992192605048</v>
      </c>
    </row>
    <row r="32">
      <c r="F32" s="7" t="n">
        <v>800</v>
      </c>
      <c r="G32" s="8" t="n">
        <v>3.14755982445435</v>
      </c>
      <c r="H32" s="8" t="n">
        <v>1.615074343806491</v>
      </c>
    </row>
    <row r="33">
      <c r="F33" s="7" t="n">
        <v>1000</v>
      </c>
      <c r="G33" s="8" t="n">
        <v>3.604580419410836</v>
      </c>
      <c r="H33" s="8" t="n">
        <v>1.973132028020426</v>
      </c>
    </row>
    <row r="34">
      <c r="F34" s="7" t="n">
        <v>1200</v>
      </c>
      <c r="G34" s="8" t="n">
        <v>4.127959665469558</v>
      </c>
      <c r="H34" s="8" t="n">
        <v>2.410570148012002</v>
      </c>
    </row>
    <row r="35">
      <c r="F35" s="7" t="n">
        <v>1400</v>
      </c>
      <c r="G35" s="8" t="n">
        <v>4.72733273142751</v>
      </c>
      <c r="H35" s="8" t="n">
        <v>2.944987135157105</v>
      </c>
    </row>
    <row r="36">
      <c r="F36" s="7" t="n">
        <v>1600</v>
      </c>
      <c r="G36" s="8" t="n">
        <v>5.413733797004972</v>
      </c>
      <c r="H36" s="8" t="n">
        <v>3.597882946237196</v>
      </c>
    </row>
    <row r="37">
      <c r="F37" s="7" t="n">
        <v>1800</v>
      </c>
      <c r="G37" s="8" t="n">
        <v>6.199799186968502</v>
      </c>
      <c r="H37" s="8" t="n">
        <v>4.395524021239532</v>
      </c>
    </row>
    <row r="38">
      <c r="F38" s="7" t="n">
        <v>2000</v>
      </c>
      <c r="G38" s="8" t="n">
        <v>7.100000000000001</v>
      </c>
      <c r="H38" s="8" t="n">
        <v>5.370000000000001</v>
      </c>
    </row>
    <row r="61">
      <c r="B61" s="4" t="inlineStr">
        <is>
          <t>標高差の仮定：KEK = 0 m、筑波山 = 877 m、白根山 = 2000 m（昨年の平均自由行程計算に合わせる）</t>
        </is>
      </c>
    </row>
  </sheetData>
  <mergeCells count="3">
    <mergeCell ref="C22:F22"/>
    <mergeCell ref="C24:F24"/>
    <mergeCell ref="C23:F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2026-08-18T04:56:04Z</dcterms:created>
  <dcterms:modified xsi:type="dcterms:W3CDTF">2026-08-18T04:56:04Z</dcterms:modified>
</cp:coreProperties>
</file>