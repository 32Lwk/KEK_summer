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yuto/KEK_summer/02_解析/"/>
    </mc:Choice>
  </mc:AlternateContent>
  <xr:revisionPtr revIDLastSave="0" documentId="13_ncr:1_{8B61B897-22BF-AD4E-BF52-79C64999B540}" xr6:coauthVersionLast="47" xr6:coauthVersionMax="47" xr10:uidLastSave="{00000000-0000-0000-0000-000000000000}"/>
  <bookViews>
    <workbookView xWindow="0" yWindow="680" windowWidth="30240" windowHeight="17720" xr2:uid="{00000000-000D-0000-FFFF-FFFF00000000}"/>
  </bookViews>
  <sheets>
    <sheet name="平均自由行程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<sst xmlns="http://schemas.openxmlformats.org/spreadsheetml/2006/main" count="37" uniqueCount="35">
  <si>
    <t>宇宙線中性子の平均自由行程</t>
  </si>
  <si>
    <t>昨年度 KEKサマーチャレンジ9班（熱中性子・管理棟1階基準）</t>
  </si>
  <si>
    <t>計算式（昨年と同じ）</t>
  </si>
  <si>
    <t>λ = Δh / ln(φ₂/φ₁)　　［m］</t>
  </si>
  <si>
    <t>Λ = ρ_air Δh / ln(φ₂/φ₁)　　［g/cm²］　　（ρ_air = 1.00×10⁻³ g/cm³ → λ [m] = 10 × Λ）</t>
  </si>
  <si>
    <t>空気は一様密度。標高差 Δh = 2000 m（白根山≈2000 m、KEK≈0 m）。標準大気の X(h) は使わない。</t>
  </si>
  <si>
    <t>使用データ</t>
  </si>
  <si>
    <t>地点</t>
  </si>
  <si>
    <t>標高差 Δh (m)</t>
  </si>
  <si>
    <t>熱中性子 φ (×10⁻³)</t>
  </si>
  <si>
    <t>MeV φ (×10⁻³)</t>
  </si>
  <si>
    <t>管理棟1階（基準）</t>
  </si>
  <si>
    <t>筑波山</t>
  </si>
  <si>
    <t>白根山</t>
  </si>
  <si>
    <t>フラックスは公開表の値。標高差は昨年どおり白根山を 2000 m と近似。地理的な標高は KEK≈30 m、草津白根≈2160 m。</t>
  </si>
  <si>
    <t>計算結果（管理棟1階 → 白根山、Δh = 2000 m）</t>
  </si>
  <si>
    <t>領域</t>
  </si>
  <si>
    <t>φ₂/φ₁</t>
  </si>
  <si>
    <t>Λ (g/cm²)</t>
  </si>
  <si>
    <t>λ (m)</t>
  </si>
  <si>
    <t>備考</t>
  </si>
  <si>
    <t>熱中性子</t>
  </si>
  <si>
    <t>昨年の主結果</t>
  </si>
  <si>
    <t>MeV領域</t>
  </si>
  <si>
    <t>同じ定義での参考</t>
  </si>
  <si>
    <t>主結果</t>
  </si>
  <si>
    <t>熱中性子の平均自由行程  λ = 1475 m</t>
  </si>
  <si>
    <t>管理棟1階→白根山、Δh = 2000 m、Λ = 148 g/cm²、ρ_air = 1.00×10⁻³ g/cm³。昨年と同じ定義。</t>
  </si>
  <si>
    <t>1730 m になる計算法は、標準大気の大気深度 X(h) を使った場合。空気が高度とともに薄くなるため ΔX が大きくなり、λ も長めに出る。</t>
  </si>
  <si>
    <t>グラフ用</t>
  </si>
  <si>
    <t>標高差 (m)</t>
  </si>
  <si>
    <t>熱 φ (×10⁻³)</t>
  </si>
  <si>
    <t>熱 予測 (λ=1475 m)</t>
  </si>
  <si>
    <t>MeV 予測 (λ=999 m)</t>
  </si>
  <si>
    <t>標高差の仮定：KEK = 0 m、筑波山 = 877 m、白根山 = 2000 m（昨年の平均自由行程計算に合わせる）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</si>
</sst>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1">
    <font>
      <sz val="11"/>
      <color theme="1"/>
      <name val="ＭＳ Ｐゴシック"/>
      <family val="2"/>
      <scheme val="minor"/>
    </font>
    <font>
      <b/>
      <sz val="20"/>
      <color rgb="FF1F4E79"/>
      <name val="ＭＳ Ｐゴシック"/>
      <family val="2"/>
      <charset val="128"/>
    </font>
    <font>
      <sz val="11"/>
      <color rgb="FF666666"/>
      <name val="ＭＳ Ｐゴシック"/>
      <family val="2"/>
      <charset val="128"/>
    </font>
    <font>
      <b/>
      <sz val="13"/>
      <name val="ＭＳ Ｐゴシック"/>
      <family val="2"/>
      <charset val="128"/>
    </font>
    <font>
      <sz val="10"/>
      <color rgb="FF666666"/>
      <name val="ＭＳ Ｐゴシック"/>
      <family val="2"/>
      <charset val="128"/>
    </font>
    <font>
      <b/>
      <sz val="11"/>
      <color rgb="FFFFFFFF"/>
      <name val="ＭＳ Ｐゴシック"/>
      <family val="2"/>
      <charset val="128"/>
    </font>
    <font>
      <sz val="11"/>
      <name val="ＭＳ Ｐゴシック"/>
      <family val="2"/>
      <charset val="128"/>
    </font>
    <font>
      <b/>
      <sz val="11"/>
      <name val="ＭＳ Ｐゴシック"/>
      <family val="2"/>
      <charset val="128"/>
    </font>
    <font>
      <b/>
      <sz val="12"/>
      <name val="ＭＳ Ｐゴシック"/>
      <family val="2"/>
      <charset val="128"/>
    </font>
    <font>
      <b/>
      <sz val="16"/>
      <color rgb="FF1F77B4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2" fontId="7" fillId="3" borderId="1" xfId="0" applyNumberFormat="1" applyFont="1" applyFill="1" applyBorder="1" applyAlignment="1">
      <alignment horizontal="center" vertical="center" wrapText="1"/>
    </xf>
    <xf numFmtId="176" fontId="7" fillId="3" borderId="1" xfId="0" applyNumberFormat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0" fillId="0" borderId="0" xfId="0"/>
    <xf numFmtId="0" fontId="4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フラックスの高度依存（管理棟</a:t>
            </a:r>
            <a:r>
              <a:rPr lang="en-US" altLang="ja-JP"/>
              <a:t>1</a:t>
            </a:r>
            <a:r>
              <a:rPr lang="ja-JP" altLang="en-US"/>
              <a:t>階基準、熱中性子 </a:t>
            </a:r>
            <a:r>
              <a:rPr lang="el-GR"/>
              <a:t>λ = 1475 </a:t>
            </a:r>
            <a:r>
              <a:rPr lang="en"/>
              <a:t>m）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熱中性子（測定）</c:v>
          </c:tx>
          <c:spPr>
            <a:ln>
              <a:noFill/>
              <a:prstDash val="solid"/>
            </a:ln>
          </c:spPr>
          <c:marker>
            <c:symbol val="circle"/>
            <c:size val="11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平均自由行程!$B$28:$B$30</c:f>
              <c:numCache>
                <c:formatCode>#,##0</c:formatCode>
                <c:ptCount val="3"/>
                <c:pt idx="0">
                  <c:v>0</c:v>
                </c:pt>
                <c:pt idx="1">
                  <c:v>877</c:v>
                </c:pt>
                <c:pt idx="2">
                  <c:v>2000</c:v>
                </c:pt>
              </c:numCache>
            </c:numRef>
          </c:xVal>
          <c:yVal>
            <c:numRef>
              <c:f>平均自由行程!$C$28:$C$30</c:f>
              <c:numCache>
                <c:formatCode>0.00</c:formatCode>
                <c:ptCount val="3"/>
                <c:pt idx="0">
                  <c:v>1.83</c:v>
                </c:pt>
                <c:pt idx="1">
                  <c:v>3.12</c:v>
                </c:pt>
                <c:pt idx="2">
                  <c:v>7.1000000000000014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6B-CC47-B293-3EFB76FC5D9D}"/>
            </c:ext>
          </c:extLst>
        </c:ser>
        <c:ser>
          <c:idx val="1"/>
          <c:order val="1"/>
          <c:tx>
            <c:v>MeV（測定）</c:v>
          </c:tx>
          <c:spPr>
            <a:ln>
              <a:noFill/>
              <a:prstDash val="solid"/>
            </a:ln>
          </c:spPr>
          <c:marker>
            <c:symbol val="triangle"/>
            <c:size val="12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平均自由行程!$B$28:$B$30</c:f>
              <c:numCache>
                <c:formatCode>#,##0</c:formatCode>
                <c:ptCount val="3"/>
                <c:pt idx="0">
                  <c:v>0</c:v>
                </c:pt>
                <c:pt idx="1">
                  <c:v>877</c:v>
                </c:pt>
                <c:pt idx="2">
                  <c:v>2000</c:v>
                </c:pt>
              </c:numCache>
            </c:numRef>
          </c:xVal>
          <c:yVal>
            <c:numRef>
              <c:f>平均自由行程!$D$28:$D$30</c:f>
              <c:numCache>
                <c:formatCode>0.00</c:formatCode>
                <c:ptCount val="3"/>
                <c:pt idx="0">
                  <c:v>0.72499999999999998</c:v>
                </c:pt>
                <c:pt idx="1">
                  <c:v>1.89</c:v>
                </c:pt>
                <c:pt idx="2">
                  <c:v>5.37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6B-CC47-B293-3EFB76FC5D9D}"/>
            </c:ext>
          </c:extLst>
        </c:ser>
        <c:ser>
          <c:idx val="2"/>
          <c:order val="2"/>
          <c:tx>
            <c:v>熱 予測 (1475 m)</c:v>
          </c:tx>
          <c:spPr>
            <a:ln w="18000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平均自由行程!$F$28:$F$38</c:f>
              <c:numCache>
                <c:formatCode>#,##0</c:formatCode>
                <c:ptCount val="1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</c:numCache>
            </c:numRef>
          </c:xVal>
          <c:yVal>
            <c:numRef>
              <c:f>平均自由行程!$G$28:$G$38</c:f>
              <c:numCache>
                <c:formatCode>0.00</c:formatCode>
                <c:ptCount val="11"/>
                <c:pt idx="0">
                  <c:v>1.83</c:v>
                </c:pt>
                <c:pt idx="1">
                  <c:v>2.095713039756236</c:v>
                </c:pt>
                <c:pt idx="2">
                  <c:v>2.4000071830624718</c:v>
                </c:pt>
                <c:pt idx="3">
                  <c:v>2.7484843437446189</c:v>
                </c:pt>
                <c:pt idx="4">
                  <c:v>3.1475598244543499</c:v>
                </c:pt>
                <c:pt idx="5">
                  <c:v>3.6045804194108362</c:v>
                </c:pt>
                <c:pt idx="6">
                  <c:v>4.1279596654695583</c:v>
                </c:pt>
                <c:pt idx="7">
                  <c:v>4.7273327314275102</c:v>
                </c:pt>
                <c:pt idx="8">
                  <c:v>5.4137337970049719</c:v>
                </c:pt>
                <c:pt idx="9">
                  <c:v>6.1997991869685016</c:v>
                </c:pt>
                <c:pt idx="10">
                  <c:v>7.1000000000000014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6B-CC47-B293-3EFB76FC5D9D}"/>
            </c:ext>
          </c:extLst>
        </c:ser>
        <c:ser>
          <c:idx val="3"/>
          <c:order val="3"/>
          <c:tx>
            <c:v>MeV 予測 (999 m)</c:v>
          </c:tx>
          <c:spPr>
            <a:ln w="18000">
              <a:solidFill>
                <a:srgbClr val="D62728"/>
              </a:solidFill>
              <a:prstDash val="solid"/>
            </a:ln>
          </c:spPr>
          <c:marker>
            <c:symbol val="none"/>
          </c:marker>
          <c:xVal>
            <c:numRef>
              <c:f>平均自由行程!$F$28:$F$38</c:f>
              <c:numCache>
                <c:formatCode>#,##0</c:formatCode>
                <c:ptCount val="1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</c:numCache>
            </c:numRef>
          </c:xVal>
          <c:yVal>
            <c:numRef>
              <c:f>平均自由行程!$H$28:$H$38</c:f>
              <c:numCache>
                <c:formatCode>0.00</c:formatCode>
                <c:ptCount val="11"/>
                <c:pt idx="0">
                  <c:v>0.72499999999999998</c:v>
                </c:pt>
                <c:pt idx="1">
                  <c:v>0.88573057073229422</c:v>
                </c:pt>
                <c:pt idx="2">
                  <c:v>1.0820946812824219</c:v>
                </c:pt>
                <c:pt idx="3">
                  <c:v>1.321992192605048</c:v>
                </c:pt>
                <c:pt idx="4">
                  <c:v>1.615074343806491</c:v>
                </c:pt>
                <c:pt idx="5">
                  <c:v>1.9731320280204261</c:v>
                </c:pt>
                <c:pt idx="6">
                  <c:v>2.4105701480120021</c:v>
                </c:pt>
                <c:pt idx="7">
                  <c:v>2.9449871351571049</c:v>
                </c:pt>
                <c:pt idx="8">
                  <c:v>3.597882946237196</c:v>
                </c:pt>
                <c:pt idx="9">
                  <c:v>4.3955240212395319</c:v>
                </c:pt>
                <c:pt idx="10">
                  <c:v>5.370000000000001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6B-CC47-B293-3EFB76FC5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200"/>
          <c:min val="0"/>
        </c:scaling>
        <c:delete val="0"/>
        <c:axPos val="b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標高差 </a:t>
                </a:r>
                <a:r>
                  <a:rPr lang="el-GR"/>
                  <a:t>Δ</a:t>
                </a:r>
                <a:r>
                  <a:rPr lang="en"/>
                  <a:t>h (m)</a:t>
                </a:r>
              </a:p>
            </c:rich>
          </c:tx>
          <c:overlay val="1"/>
        </c:title>
        <c:numFmt formatCode="#,##0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20"/>
        <c:crosses val="autoZero"/>
        <c:crossBetween val="midCat"/>
        <c:majorUnit val="400"/>
        <c:minorUnit val="200"/>
      </c:valAx>
      <c:valAx>
        <c:axId val="20"/>
        <c:scaling>
          <c:orientation val="minMax"/>
          <c:max val="8"/>
          <c:min val="0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</a:ln>
          </c:spPr>
        </c:majorGridlines>
        <c:minorGridlines>
          <c:spPr>
            <a:ln w="6350">
              <a:solidFill>
                <a:srgbClr val="EFEFEF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フラックス </a:t>
                </a:r>
                <a:r>
                  <a:rPr lang="en-US" altLang="ja-JP"/>
                  <a:t>(×10⁻³ </a:t>
                </a:r>
                <a:r>
                  <a:rPr lang="en"/>
                  <a:t>s⁻¹ cm⁻²)</a:t>
                </a:r>
              </a:p>
            </c:rich>
          </c:tx>
          <c:overlay val="1"/>
        </c:title>
        <c:numFmt formatCode="0.0" sourceLinked="0"/>
        <c:majorTickMark val="out"/>
        <c:minorTickMark val="out"/>
        <c:tickLblPos val="nextTo"/>
        <c:spPr>
          <a:ln w="15875">
            <a:solidFill>
              <a:srgbClr val="000000"/>
            </a:solidFill>
            <a:prstDash val="solid"/>
          </a:ln>
        </c:spPr>
        <c:crossAx val="10"/>
        <c:crosses val="autoZero"/>
        <c:crossBetween val="midCat"/>
        <c:majorUnit val="1"/>
        <c:minorUnit val="0.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41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1"/>
  <sheetViews>
    <sheetView showGridLines="0" tabSelected="1" workbookViewId="0"/>
  </sheetViews>
  <sheetFormatPr baseColWidth="10" defaultColWidth="8.83203125" defaultRowHeight="14"/>
  <cols>
    <col min="1" max="1" width="3" customWidth="1"/>
    <col min="2" max="2" width="22" customWidth="1"/>
    <col min="3" max="3" width="16" customWidth="1"/>
    <col min="4" max="4" width="22" customWidth="1"/>
    <col min="5" max="5" width="18" customWidth="1"/>
    <col min="6" max="6" width="16" customWidth="1"/>
    <col min="7" max="8" width="22" customWidth="1"/>
    <col min="9" max="9" width="4" customWidth="1"/>
  </cols>
  <sheetData>
    <row r="2" spans="2:5" ht="30" customHeight="1">
      <c r="B2" s="1" t="s">
        <v>0</v>
      </c>
    </row>
    <row r="3" spans="2:5">
      <c r="B3" s="2" t="s">
        <v>1</v>
      </c>
    </row>
    <row r="5" spans="2:5" ht="16">
      <c r="B5" s="3" t="s">
        <v>2</v>
      </c>
    </row>
    <row r="6" spans="2:5" ht="16">
      <c r="B6" s="3" t="s">
        <v>3</v>
      </c>
    </row>
    <row r="7" spans="2:5" ht="16">
      <c r="B7" s="3" t="s">
        <v>4</v>
      </c>
    </row>
    <row r="8" spans="2:5">
      <c r="B8" s="4" t="s">
        <v>5</v>
      </c>
    </row>
    <row r="10" spans="2:5" ht="16">
      <c r="B10" s="3" t="s">
        <v>6</v>
      </c>
    </row>
    <row r="11" spans="2:5" ht="28" customHeight="1">
      <c r="B11" s="5" t="s">
        <v>7</v>
      </c>
      <c r="C11" s="5" t="s">
        <v>8</v>
      </c>
      <c r="D11" s="5" t="s">
        <v>9</v>
      </c>
      <c r="E11" s="5" t="s">
        <v>10</v>
      </c>
    </row>
    <row r="12" spans="2:5" ht="15">
      <c r="B12" s="6" t="s">
        <v>11</v>
      </c>
      <c r="C12" s="7">
        <v>0</v>
      </c>
      <c r="D12" s="8">
        <v>1.83</v>
      </c>
      <c r="E12" s="8">
        <v>0.72499999999999998</v>
      </c>
    </row>
    <row r="13" spans="2:5" ht="15">
      <c r="B13" s="6" t="s">
        <v>12</v>
      </c>
      <c r="C13" s="7">
        <v>877</v>
      </c>
      <c r="D13" s="8">
        <v>3.12</v>
      </c>
      <c r="E13" s="8">
        <v>1.89</v>
      </c>
    </row>
    <row r="14" spans="2:5" ht="15">
      <c r="B14" s="6" t="s">
        <v>13</v>
      </c>
      <c r="C14" s="7">
        <v>2000</v>
      </c>
      <c r="D14" s="8">
        <v>7.1000000000000014</v>
      </c>
      <c r="E14" s="8">
        <v>5.37</v>
      </c>
    </row>
    <row r="15" spans="2:5">
      <c r="B15" s="4" t="s">
        <v>14</v>
      </c>
    </row>
    <row r="17" spans="2:8" ht="16">
      <c r="B17" s="3" t="s">
        <v>15</v>
      </c>
    </row>
    <row r="18" spans="2:8" ht="28" customHeight="1">
      <c r="B18" s="5" t="s">
        <v>16</v>
      </c>
      <c r="C18" s="5" t="s">
        <v>17</v>
      </c>
      <c r="D18" s="5" t="s">
        <v>18</v>
      </c>
      <c r="E18" s="5" t="s">
        <v>19</v>
      </c>
      <c r="F18" s="5" t="s">
        <v>20</v>
      </c>
    </row>
    <row r="19" spans="2:8" ht="15">
      <c r="B19" s="9" t="s">
        <v>21</v>
      </c>
      <c r="C19" s="10">
        <v>3.8797814207650281</v>
      </c>
      <c r="D19" s="11">
        <v>147.51668742984239</v>
      </c>
      <c r="E19" s="12">
        <v>1475</v>
      </c>
      <c r="F19" s="9" t="s">
        <v>22</v>
      </c>
    </row>
    <row r="20" spans="2:8" ht="15">
      <c r="B20" s="6" t="s">
        <v>23</v>
      </c>
      <c r="C20" s="8">
        <v>7.4068965517241381</v>
      </c>
      <c r="D20" s="13">
        <v>99.879568579739129</v>
      </c>
      <c r="E20" s="7">
        <v>999</v>
      </c>
      <c r="F20" s="6" t="s">
        <v>24</v>
      </c>
    </row>
    <row r="22" spans="2:8" ht="19">
      <c r="B22" s="14" t="s">
        <v>25</v>
      </c>
      <c r="C22" s="15" t="s">
        <v>26</v>
      </c>
      <c r="D22" s="16"/>
      <c r="E22" s="16"/>
      <c r="F22" s="16"/>
    </row>
    <row r="23" spans="2:8">
      <c r="C23" s="17" t="s">
        <v>27</v>
      </c>
      <c r="D23" s="16"/>
      <c r="E23" s="16"/>
      <c r="F23" s="16"/>
    </row>
    <row r="24" spans="2:8">
      <c r="C24" s="17" t="s">
        <v>28</v>
      </c>
      <c r="D24" s="16"/>
      <c r="E24" s="16"/>
      <c r="F24" s="16"/>
    </row>
    <row r="26" spans="2:8" ht="16">
      <c r="B26" s="3" t="s">
        <v>29</v>
      </c>
    </row>
    <row r="27" spans="2:8" ht="28" customHeight="1">
      <c r="B27" s="5" t="s">
        <v>30</v>
      </c>
      <c r="C27" s="5" t="s">
        <v>31</v>
      </c>
      <c r="D27" s="5" t="s">
        <v>10</v>
      </c>
      <c r="F27" s="5" t="s">
        <v>30</v>
      </c>
      <c r="G27" s="5" t="s">
        <v>32</v>
      </c>
      <c r="H27" s="5" t="s">
        <v>33</v>
      </c>
    </row>
    <row r="28" spans="2:8">
      <c r="B28" s="7">
        <v>0</v>
      </c>
      <c r="C28" s="8">
        <v>1.83</v>
      </c>
      <c r="D28" s="8">
        <v>0.72499999999999998</v>
      </c>
      <c r="F28" s="7">
        <v>0</v>
      </c>
      <c r="G28" s="8">
        <v>1.83</v>
      </c>
      <c r="H28" s="8">
        <v>0.72499999999999998</v>
      </c>
    </row>
    <row r="29" spans="2:8">
      <c r="B29" s="7">
        <v>877</v>
      </c>
      <c r="C29" s="8">
        <v>3.12</v>
      </c>
      <c r="D29" s="8">
        <v>1.89</v>
      </c>
      <c r="F29" s="7">
        <v>200</v>
      </c>
      <c r="G29" s="8">
        <v>2.095713039756236</v>
      </c>
      <c r="H29" s="8">
        <v>0.88573057073229422</v>
      </c>
    </row>
    <row r="30" spans="2:8">
      <c r="B30" s="7">
        <v>2000</v>
      </c>
      <c r="C30" s="8">
        <v>7.1000000000000014</v>
      </c>
      <c r="D30" s="8">
        <v>5.37</v>
      </c>
      <c r="F30" s="7">
        <v>400</v>
      </c>
      <c r="G30" s="8">
        <v>2.4000071830624718</v>
      </c>
      <c r="H30" s="8">
        <v>1.0820946812824219</v>
      </c>
    </row>
    <row r="31" spans="2:8">
      <c r="F31" s="7">
        <v>600</v>
      </c>
      <c r="G31" s="8">
        <v>2.7484843437446189</v>
      </c>
      <c r="H31" s="8">
        <v>1.321992192605048</v>
      </c>
    </row>
    <row r="32" spans="2:8">
      <c r="F32" s="7">
        <v>800</v>
      </c>
      <c r="G32" s="8">
        <v>3.1475598244543499</v>
      </c>
      <c r="H32" s="8">
        <v>1.615074343806491</v>
      </c>
    </row>
    <row r="33" spans="6:8">
      <c r="F33" s="7">
        <v>1000</v>
      </c>
      <c r="G33" s="8">
        <v>3.6045804194108362</v>
      </c>
      <c r="H33" s="8">
        <v>1.9731320280204261</v>
      </c>
    </row>
    <row r="34" spans="6:8">
      <c r="F34" s="7">
        <v>1200</v>
      </c>
      <c r="G34" s="8">
        <v>4.1279596654695583</v>
      </c>
      <c r="H34" s="8">
        <v>2.4105701480120021</v>
      </c>
    </row>
    <row r="35" spans="6:8">
      <c r="F35" s="7">
        <v>1400</v>
      </c>
      <c r="G35" s="8">
        <v>4.7273327314275102</v>
      </c>
      <c r="H35" s="8">
        <v>2.9449871351571049</v>
      </c>
    </row>
    <row r="36" spans="6:8">
      <c r="F36" s="7">
        <v>1600</v>
      </c>
      <c r="G36" s="8">
        <v>5.4137337970049719</v>
      </c>
      <c r="H36" s="8">
        <v>3.597882946237196</v>
      </c>
    </row>
    <row r="37" spans="6:8">
      <c r="F37" s="7">
        <v>1800</v>
      </c>
      <c r="G37" s="8">
        <v>6.1997991869685016</v>
      </c>
      <c r="H37" s="8">
        <v>4.3955240212395319</v>
      </c>
    </row>
    <row r="38" spans="6:8">
      <c r="F38" s="7">
        <v>2000</v>
      </c>
      <c r="G38" s="8">
        <v>7.1000000000000014</v>
      </c>
      <c r="H38" s="8">
        <v>5.370000000000001</v>
      </c>
    </row>
    <row r="61" spans="2:2">
      <c r="B61" s="4" t="s">
        <v>34</v>
      </c>
    </row>
  </sheetData>
  <mergeCells count="3">
    <mergeCell ref="C22:F22"/>
    <mergeCell ref="C24:F24"/>
    <mergeCell ref="C23:F23"/>
  </mergeCells>
  <phoneticPr fontId="10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平均自由行程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KAWASHIMA Yuto</cp:lastModifiedBy>
  <dcterms:created xsi:type="dcterms:W3CDTF">2026-08-18T04:56:04Z</dcterms:created>
  <dcterms:modified xsi:type="dcterms:W3CDTF">2026-08-28T16:41:20Z</dcterms:modified>
</cp:coreProperties>
</file>