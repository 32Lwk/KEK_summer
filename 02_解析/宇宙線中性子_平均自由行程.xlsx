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平均自由行程" sheetId="1" state="visible" r:id="rId1"/>
  </sheets>
  <definedNames>
    <definedName name="_xlnm.Print_Area" localSheetId="0">'平均自由行程'!$A$1:$G$44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sz val="20"/>
    </font>
    <font>
      <color rgb="00666666"/>
      <sz val="11"/>
    </font>
    <font>
      <b val="1"/>
      <sz val="13"/>
    </font>
    <font>
      <b val="1"/>
      <color rgb="00FFFFFF"/>
      <sz val="11"/>
    </font>
    <font>
      <sz val="12"/>
    </font>
    <font>
      <b val="1"/>
      <sz val="12"/>
    </font>
    <font>
      <b val="1"/>
      <color rgb="00D62728"/>
      <sz val="14"/>
    </font>
    <font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/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/>
    </xf>
    <xf numFmtId="3" fontId="5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2" fontId="5" fillId="2" borderId="1" applyAlignment="1" pivotButton="0" quotePrefix="0" xfId="0">
      <alignment horizontal="center" vertical="center"/>
    </xf>
    <xf numFmtId="2" fontId="0" fillId="2" borderId="1" applyAlignment="1" pivotButton="0" quotePrefix="0" xfId="0">
      <alignment horizontal="center" vertical="center"/>
    </xf>
    <xf numFmtId="3" fontId="0" fillId="2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2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0" fontId="6" fillId="2" borderId="0" pivotButton="0" quotePrefix="0" xfId="0"/>
    <xf numFmtId="0" fontId="7" fillId="2" borderId="0" pivotButton="0" quotePrefix="0" xfId="0"/>
    <xf numFmtId="0" fontId="8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400" b="1">
                <a:solidFill>
                  <a:srgbClr val="000000"/>
                </a:solidFill>
              </a:defRPr>
            </a:pPr>
            <a:r>
              <a:t>中性子フラックスの高度依存</a:t>
            </a:r>
          </a:p>
        </rich>
      </tx>
    </title>
    <plotArea>
      <scatterChart>
        <ser>
          <idx val="0"/>
          <order val="0"/>
          <tx>
            <v>熱中性子</v>
          </tx>
          <spPr>
            <a:ln w="26000">
              <a:solidFill>
                <a:srgbClr val="1F77B4"/>
              </a:solidFill>
              <a:prstDash val="solid"/>
            </a:ln>
          </spPr>
          <marker>
            <symbol val="circle"/>
            <size val="11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'平均自由行程'!$C$11:$C$13</f>
            </numRef>
          </xVal>
          <yVal>
            <numRef>
              <f>'平均自由行程'!$E$11:$E$13</f>
            </numRef>
          </yVal>
        </ser>
        <ser>
          <idx val="1"/>
          <order val="1"/>
          <tx>
            <v>MeV領域</v>
          </tx>
          <spPr>
            <a:ln w="26000">
              <a:solidFill>
                <a:srgbClr val="D62728"/>
              </a:solidFill>
              <a:prstDash val="solid"/>
            </a:ln>
          </spPr>
          <marker>
            <symbol val="triangle"/>
            <size val="12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'平均自由行程'!$C$11:$C$13</f>
            </numRef>
          </xVal>
          <yVal>
            <numRef>
              <f>'平均自由行程'!$F$11:$F$13</f>
            </numRef>
          </yVal>
        </ser>
        <axId val="10"/>
        <axId val="20"/>
      </scatterChart>
      <valAx>
        <axId val="10"/>
        <scaling>
          <orientation val="minMax"/>
          <max val="2400"/>
          <min val="0"/>
        </scaling>
        <axPos val="l"/>
        <majorGridlines>
          <spPr>
            <a:ln w="9525">
              <a:solidFill>
                <a:srgbClr val="EEEEEE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標高 (m)</a:t>
                </a:r>
              </a:p>
            </rich>
          </tx>
        </title>
        <numFmt formatCode="#,##0" sourceLinked="0"/>
        <majorTickMark val="none"/>
        <minorTickMark val="none"/>
        <spPr>
          <a:ln w="12700">
            <a:solidFill>
              <a:srgbClr val="000000"/>
            </a:solidFill>
            <a:prstDash val="solid"/>
          </a:ln>
        </spPr>
        <txPr>
          <a:bodyPr/>
          <a:p>
            <a:pPr>
              <a:defRPr sz="1200">
                <a:solidFill>
                  <a:srgbClr val="000000"/>
                </a:solidFill>
              </a:defRPr>
            </a:pPr>
            <a:r>
              <a:t>None</a:t>
            </a:r>
          </a:p>
        </txPr>
        <crossAx val="20"/>
        <majorUnit val="400"/>
      </valAx>
      <valAx>
        <axId val="20"/>
        <scaling>
          <orientation val="minMax"/>
          <max val="8"/>
          <min val="0"/>
        </scaling>
        <axPos val="l"/>
        <majorGridlines>
          <spPr>
            <a:ln w="9525">
              <a:solidFill>
                <a:srgbClr val="DDDDDD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フラックス (×10⁻³ s⁻¹ cm⁻²)</a:t>
                </a:r>
              </a:p>
            </rich>
          </tx>
        </title>
        <numFmt formatCode="0.0" sourceLinked="0"/>
        <majorTickMark val="none"/>
        <minorTickMark val="none"/>
        <spPr>
          <a:ln w="12700">
            <a:solidFill>
              <a:srgbClr val="000000"/>
            </a:solidFill>
            <a:prstDash val="solid"/>
          </a:ln>
        </spPr>
        <txPr>
          <a:bodyPr/>
          <a:p>
            <a:pPr>
              <a:defRPr sz="1200">
                <a:solidFill>
                  <a:srgbClr val="000000"/>
                </a:solidFill>
              </a:defRPr>
            </a:pPr>
            <a:r>
              <a:t>None</a:t>
            </a:r>
          </a:p>
        </txPr>
        <crossAx val="10"/>
        <majorUnit val="1"/>
      </valAx>
    </plotArea>
    <legend>
      <legendPos val="b"/>
      <txPr>
        <a:bodyPr/>
        <a:p>
          <a:pPr>
            <a:defRPr sz="1200">
              <a:solidFill>
                <a:srgbClr val="000000"/>
              </a:solidFill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2" customWidth="1" min="3" max="3"/>
    <col width="18" customWidth="1" min="4" max="4"/>
    <col width="18" customWidth="1" min="5" max="5"/>
    <col width="14" customWidth="1" min="6" max="6"/>
    <col width="4" customWidth="1" min="7" max="7"/>
    <col width="4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0" customHeight="1">
      <c r="A2" s="1" t="n"/>
      <c r="B2" s="2" t="inlineStr">
        <is>
          <t>宇宙線中性子の平均自由行程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3" t="inlineStr">
        <is>
          <t>管理棟2階（30 m）と白根山（2160 m）のフラックス比から算出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4" t="inlineStr">
        <is>
          <t>計算式</t>
        </is>
      </c>
      <c r="C5" s="1" t="n"/>
      <c r="D5" s="1" t="n"/>
      <c r="E5" s="1" t="n"/>
      <c r="F5" s="1" t="n"/>
      <c r="G5" s="1" t="n"/>
      <c r="H5" s="1" t="n"/>
      <c r="I5" s="1" t="n"/>
      <c r="J5" s="1" t="n"/>
    </row>
    <row r="6" ht="22" customHeight="1">
      <c r="A6" s="1" t="n"/>
      <c r="B6" s="4" t="inlineStr">
        <is>
          <t>λ = (h₂ − h₁) / ln(φ₂/φ₁)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22" customHeight="1">
      <c r="A7" s="1" t="n"/>
      <c r="B7" s="4" t="inlineStr">
        <is>
          <t>Λ = (X₁ − X₂) / ln(φ₂/φ₁)</t>
        </is>
      </c>
      <c r="C7" s="1" t="n"/>
      <c r="D7" s="1" t="n"/>
      <c r="E7" s="1" t="n"/>
      <c r="F7" s="1" t="n"/>
      <c r="G7" s="1" t="n"/>
      <c r="H7" s="1" t="n"/>
      <c r="I7" s="1" t="n"/>
      <c r="J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</row>
    <row r="9">
      <c r="A9" s="1" t="n"/>
      <c r="B9" s="4" t="inlineStr">
        <is>
          <t>測定データ</t>
        </is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28" customHeight="1">
      <c r="A10" s="1" t="n"/>
      <c r="B10" s="5" t="inlineStr">
        <is>
          <t>地点</t>
        </is>
      </c>
      <c r="C10" s="5" t="inlineStr">
        <is>
          <t>標高 (m)</t>
        </is>
      </c>
      <c r="D10" s="5" t="inlineStr">
        <is>
          <t>大気深度 (g/cm²)</t>
        </is>
      </c>
      <c r="E10" s="5" t="inlineStr">
        <is>
          <t>熱中性子 (×10⁻³)</t>
        </is>
      </c>
      <c r="F10" s="5" t="inlineStr">
        <is>
          <t>MeV (×10⁻³)</t>
        </is>
      </c>
      <c r="G10" s="1" t="n"/>
      <c r="H10" s="1" t="n"/>
      <c r="I10" s="1" t="n"/>
      <c r="J10" s="1" t="n"/>
    </row>
    <row r="11" ht="24" customHeight="1">
      <c r="A11" s="1" t="n"/>
      <c r="B11" s="6" t="inlineStr">
        <is>
          <t>管理棟2階</t>
        </is>
      </c>
      <c r="C11" s="7" t="n">
        <v>30</v>
      </c>
      <c r="D11" s="8" t="n">
        <v>1029.6</v>
      </c>
      <c r="E11" s="9" t="n">
        <v>2.23</v>
      </c>
      <c r="F11" s="9" t="n">
        <v>1.02</v>
      </c>
      <c r="G11" s="1" t="n"/>
      <c r="H11" s="1" t="n"/>
      <c r="I11" s="1" t="n"/>
      <c r="J11" s="1" t="n"/>
    </row>
    <row r="12" ht="24" customHeight="1">
      <c r="A12" s="1" t="n"/>
      <c r="B12" s="6" t="inlineStr">
        <is>
          <t>筑波山</t>
        </is>
      </c>
      <c r="C12" s="7" t="n">
        <v>877</v>
      </c>
      <c r="D12" s="8" t="n">
        <v>930.2</v>
      </c>
      <c r="E12" s="9" t="n">
        <v>3.12</v>
      </c>
      <c r="F12" s="9" t="n">
        <v>1.89</v>
      </c>
      <c r="G12" s="1" t="n"/>
      <c r="H12" s="1" t="n"/>
      <c r="I12" s="1" t="n"/>
      <c r="J12" s="1" t="n"/>
    </row>
    <row r="13" ht="24" customHeight="1">
      <c r="A13" s="1" t="n"/>
      <c r="B13" s="6" t="inlineStr">
        <is>
          <t>白根山</t>
        </is>
      </c>
      <c r="C13" s="7" t="n">
        <v>2160</v>
      </c>
      <c r="D13" s="8" t="n">
        <v>794.7</v>
      </c>
      <c r="E13" s="9" t="n">
        <v>7.1</v>
      </c>
      <c r="F13" s="9" t="n">
        <v>5.37</v>
      </c>
      <c r="G13" s="1" t="n"/>
      <c r="H13" s="1" t="n"/>
      <c r="I13" s="1" t="n"/>
      <c r="J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>
      <c r="A15" s="1" t="n"/>
      <c r="B15" s="4" t="inlineStr">
        <is>
          <t>計算結果（管理棟2階 → 白根山）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</row>
    <row r="16" ht="28" customHeight="1">
      <c r="A16" s="1" t="n"/>
      <c r="B16" s="5" t="inlineStr"/>
      <c r="C16" s="5" t="inlineStr">
        <is>
          <t>φ₂/φ₁</t>
        </is>
      </c>
      <c r="D16" s="5" t="inlineStr">
        <is>
          <t>λ (km)</t>
        </is>
      </c>
      <c r="E16" s="5" t="inlineStr">
        <is>
          <t>Λ (g/cm²)</t>
        </is>
      </c>
      <c r="F16" s="1" t="n"/>
      <c r="G16" s="1" t="n"/>
      <c r="H16" s="1" t="n"/>
      <c r="I16" s="1" t="n"/>
      <c r="J16" s="1" t="n"/>
    </row>
    <row r="17" ht="26" customHeight="1">
      <c r="A17" s="1" t="n"/>
      <c r="B17" s="6" t="inlineStr">
        <is>
          <t>熱中性子</t>
        </is>
      </c>
      <c r="C17" s="10">
        <f>E13/E11</f>
        <v/>
      </c>
      <c r="D17" s="10">
        <f>($C$13-$C$11)/LN(C17)/1000</f>
        <v/>
      </c>
      <c r="E17" s="11">
        <f>($D$11-$D$13)/LN(C17)</f>
        <v/>
      </c>
      <c r="F17" s="1" t="n"/>
      <c r="G17" s="1" t="n"/>
      <c r="H17" s="1" t="n"/>
      <c r="I17" s="1" t="n"/>
      <c r="J17" s="1" t="n"/>
    </row>
    <row r="18" ht="26" customHeight="1">
      <c r="A18" s="1" t="n"/>
      <c r="B18" s="12" t="inlineStr">
        <is>
          <t>MeV領域</t>
        </is>
      </c>
      <c r="C18" s="13">
        <f>F13/F11</f>
        <v/>
      </c>
      <c r="D18" s="13">
        <f>($C$13-$C$11)/LN(C18)/1000</f>
        <v/>
      </c>
      <c r="E18" s="14">
        <f>($D$11-$D$13)/LN(C18)</f>
        <v/>
      </c>
      <c r="F18" s="1" t="n"/>
      <c r="G18" s="1" t="n"/>
      <c r="H18" s="1" t="n"/>
      <c r="I18" s="1" t="n"/>
      <c r="J18" s="1" t="n"/>
    </row>
    <row r="19">
      <c r="A19" s="1" t="n"/>
      <c r="B19" s="15" t="inlineStr">
        <is>
          <t>主結果</t>
        </is>
      </c>
      <c r="C19" s="16" t="inlineStr">
        <is>
          <t>MeV領域：λ = 1.28 km、Λ = 141 g/cm²</t>
        </is>
      </c>
      <c r="G19" s="1" t="n"/>
      <c r="H19" s="1" t="n"/>
      <c r="I19" s="1" t="n"/>
      <c r="J19" s="1" t="n"/>
    </row>
    <row r="20">
      <c r="A20" s="1" t="n"/>
      <c r="B20" s="1" t="n"/>
      <c r="C20" s="17" t="inlineStr">
        <is>
          <t>（文献値 136–140 g/cm² と一致）</t>
        </is>
      </c>
      <c r="G20" s="1" t="n"/>
      <c r="H20" s="1" t="n"/>
      <c r="I20" s="1" t="n"/>
      <c r="J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7" t="inlineStr">
        <is>
          <t>凡例：● 熱中性子（青）　▲ MeV領域（赤）</t>
        </is>
      </c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7" t="inlineStr">
        <is>
          <t>標高仮定：KEK 30 m、筑波山 877 m、草津白根山 2160 m</t>
        </is>
      </c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</sheetData>
  <mergeCells count="2">
    <mergeCell ref="C19:F19"/>
    <mergeCell ref="C20:F20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2026-08-17T12:20:23Z</dcterms:created>
  <dcterms:modified xsi:type="dcterms:W3CDTF">2026-08-17T12:20:43Z</dcterms:modified>
</cp:coreProperties>
</file>