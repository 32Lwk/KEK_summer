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地質_KEK" sheetId="2" state="visible" r:id="rId2"/>
    <sheet name="予測" sheetId="3" state="visible" r:id="rId3"/>
    <sheet name="測定計画" sheetId="4" state="visible" r:id="rId4"/>
    <sheet name="文献_根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  <sz val="11"/>
    </font>
    <font>
      <b val="1"/>
      <sz val="13"/>
    </font>
    <font>
      <b val="1"/>
      <sz val="11"/>
    </font>
    <font>
      <sz val="11"/>
    </font>
    <font>
      <sz val="12"/>
    </font>
    <font>
      <b val="1"/>
      <color rgb="00FFFFFF"/>
      <sz val="11"/>
    </font>
    <font>
      <b val="1"/>
      <color rgb="00E67E22"/>
      <sz val="11"/>
    </font>
    <font>
      <b val="1"/>
      <color rgb="001F4E79"/>
      <sz val="16"/>
    </font>
    <font>
      <b val="1"/>
      <color rgb="00D62728"/>
      <sz val="12"/>
    </font>
    <font>
      <sz val="10"/>
    </font>
    <font>
      <color rgb="00666666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FCE4D6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1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1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1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1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KEK地質モデル：深さ vs 残存率</a:t>
            </a:r>
          </a:p>
        </rich>
      </tx>
    </title>
    <plotArea>
      <scatterChart>
        <ser>
          <idx val="0"/>
          <order val="0"/>
          <tx>
            <v>熱（λ_air≈1470 m）</v>
          </tx>
          <spPr>
            <a:ln w="25000">
              <a:solidFill>
                <a:srgbClr val="1F77B4"/>
              </a:solidFill>
              <a:prstDash val="solid"/>
            </a:ln>
          </spPr>
          <marker>
            <symbol val="circle"/>
            <size val="8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'予測'!$A$6:$A$17</f>
            </numRef>
          </xVal>
          <yVal>
            <numRef>
              <f>'予測'!$C$6:$C$17</f>
            </numRef>
          </yVal>
        </ser>
        <ser>
          <idx val="1"/>
          <order val="1"/>
          <tx>
            <v>MeV（参考 λ_air≈1000 m）</v>
          </tx>
          <spPr>
            <a:ln w="25000">
              <a:solidFill>
                <a:srgbClr val="D62728"/>
              </a:solidFill>
              <a:prstDash val="solid"/>
            </a:ln>
          </spPr>
          <marker>
            <symbol val="triangle"/>
            <size val="8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'予測'!$A$6:$A$17</f>
            </numRef>
          </xVal>
          <yVal>
            <numRef>
              <f>'予測'!$E$6:$E$17</f>
            </numRef>
          </yVal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inorGridlines>
          <spPr>
            <a:ln w="6350">
              <a:solidFill>
                <a:srgbClr val="EFEFEF"/>
              </a:solidFill>
              <a:prstDash val="solid"/>
            </a:ln>
          </spPr>
        </minorGridlines>
        <title>
          <tx>
            <rich>
              <a:bodyPr/>
              <a:p>
                <a:pPr>
                  <a:defRPr/>
                </a:pPr>
                <a:r>
                  <a:t>深さ d (m)</a:t>
                </a:r>
              </a:p>
            </rich>
          </tx>
        </title>
        <numFmt formatCode="0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20"/>
        <majorUnit val="1"/>
        <minorUnit val="0.5"/>
      </valAx>
      <valAx>
        <axId val="20"/>
        <scaling>
          <orientation val="minMax"/>
          <max val="1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inorGridlines>
          <spPr>
            <a:ln w="6350">
              <a:solidFill>
                <a:srgbClr val="EFEFEF"/>
              </a:solidFill>
              <a:prstDash val="solid"/>
            </a:ln>
          </spPr>
        </minorGridlines>
        <title>
          <tx>
            <rich>
              <a:bodyPr/>
              <a:p>
                <a:pPr>
                  <a:defRPr/>
                </a:pPr>
                <a:r>
                  <a:t>宇宙線成分の残存率</a:t>
                </a:r>
              </a:p>
            </rich>
          </tx>
        </title>
        <numFmt formatCode="0%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10"/>
        <majorUnit val="0.1"/>
        <minorUnit val="0.05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主な深さでの熱中性子残存率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'予測'!K5</f>
            </strRef>
          </tx>
          <spPr>
            <a:ln>
              <a:prstDash val="solid"/>
            </a:ln>
          </spPr>
          <cat>
            <numRef>
              <f>'予測'!$J$6:$J$11</f>
            </numRef>
          </cat>
          <val>
            <numRef>
              <f>'予測'!$K$6:$K$11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深さ (m)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inorGridlines>
          <spPr>
            <a:ln w="6350">
              <a:solidFill>
                <a:srgbClr val="EFEFEF"/>
              </a:solidFill>
              <a:prstDash val="solid"/>
            </a:ln>
          </spPr>
        </minorGridlines>
        <title>
          <tx>
            <rich>
              <a:bodyPr/>
              <a:p>
                <a:pPr>
                  <a:defRPr/>
                </a:pPr>
                <a:r>
                  <a:t>残存率 (%)</a:t>
                </a:r>
              </a:p>
            </rich>
          </tx>
        </title>
        <numFmt formatCode="0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10"/>
        <majorUnit val="10"/>
        <minorUnit val="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46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28" customWidth="1" min="5" max="5"/>
    <col width="12" customWidth="1" min="6" max="6"/>
    <col width="12" customWidth="1" min="7" max="7"/>
  </cols>
  <sheetData>
    <row r="1">
      <c r="A1" s="1" t="inlineStr">
        <is>
          <t>KEK地下測定 — 地質に基づく宇宙線中性子予測</t>
        </is>
      </c>
    </row>
    <row r="2">
      <c r="A2" s="2" t="inlineStr">
        <is>
          <t>昨年度9班（熱中性子・管理棟1階基準、空気中 λ ≈ 1470 m）× 筑波台地の浅層地質モデル</t>
        </is>
      </c>
    </row>
    <row r="4">
      <c r="A4" s="3" t="inlineStr">
        <is>
          <t>このブックの内容</t>
        </is>
      </c>
    </row>
    <row r="5">
      <c r="A5" s="4" t="inlineStr">
        <is>
          <t>地質_KEK</t>
        </is>
      </c>
      <c r="B5" s="5" t="inlineStr">
        <is>
          <t>KEK周辺（筑波台地）の表層〜浅部の地質と密度仮定</t>
        </is>
      </c>
      <c r="C5" s="6" t="n"/>
      <c r="D5" s="6" t="n"/>
      <c r="E5" s="6" t="n"/>
      <c r="F5" s="7" t="n"/>
    </row>
    <row r="6">
      <c r="A6" s="4" t="inlineStr">
        <is>
          <t>予測</t>
        </is>
      </c>
      <c r="B6" s="5" t="inlineStr">
        <is>
          <t>層構造を考慮した深さ方向のフラックス予測（主結果・グラフ）</t>
        </is>
      </c>
      <c r="C6" s="6" t="n"/>
      <c r="D6" s="6" t="n"/>
      <c r="E6" s="6" t="n"/>
      <c r="F6" s="7" t="n"/>
    </row>
    <row r="7">
      <c r="A7" s="4" t="inlineStr">
        <is>
          <t>測定計画</t>
        </is>
      </c>
      <c r="B7" s="5" t="inlineStr">
        <is>
          <t>地下測定で記録すべき項目と推奨深さ</t>
        </is>
      </c>
      <c r="C7" s="6" t="n"/>
      <c r="D7" s="6" t="n"/>
      <c r="E7" s="6" t="n"/>
      <c r="F7" s="7" t="n"/>
    </row>
    <row r="8">
      <c r="A8" s="4" t="inlineStr">
        <is>
          <t>文献_根拠</t>
        </is>
      </c>
      <c r="B8" s="5" t="inlineStr">
        <is>
          <t>地質・減衰長の根拠</t>
        </is>
      </c>
      <c r="C8" s="6" t="n"/>
      <c r="D8" s="6" t="n"/>
      <c r="E8" s="6" t="n"/>
      <c r="F8" s="7" t="n"/>
    </row>
    <row r="10">
      <c r="A10" s="3" t="inlineStr">
        <is>
          <t>一言でいうと</t>
        </is>
      </c>
    </row>
    <row r="11">
      <c r="A11" s="8" t="inlineStr">
        <is>
          <t>KEKは筑波台地の関東ローム＋常総粘土の上にあり、土の密度が比較的低いため、</t>
        </is>
      </c>
    </row>
    <row r="12">
      <c r="A12" s="8" t="inlineStr">
        <is>
          <t>空気中の平均自由行程は約 1470 m（熱中性子・管理棟1階→白根山）。土の中では約 1.1 m まで短くなり、深さ2–3 mで熱中性子は地上の数〜十%まで減ると予測。</t>
        </is>
      </c>
    </row>
    <row r="13">
      <c r="A13" s="8" t="inlineStr">
        <is>
          <t>深さ5 m超では大気起源はほぼ消え、放射起源フロアが見え始める可能性。</t>
        </is>
      </c>
    </row>
    <row r="15">
      <c r="A15" s="3" t="inlineStr">
        <is>
          <t>主予測（熱中性子・管理棟1階基準 φ=1.83E-03、λ_air ≈ 1470 m）</t>
        </is>
      </c>
    </row>
    <row r="16" ht="28" customHeight="1">
      <c r="A16" s="9" t="inlineStr">
        <is>
          <t>深さ (m)</t>
        </is>
      </c>
      <c r="B16" s="9" t="inlineStr">
        <is>
          <t>その層のλ (m)</t>
        </is>
      </c>
      <c r="C16" s="9" t="inlineStr">
        <is>
          <t>残存率</t>
        </is>
      </c>
      <c r="D16" s="9" t="inlineStr">
        <is>
          <t>予測φ (s⁻¹ cm⁻²)</t>
        </is>
      </c>
      <c r="E16" s="9" t="inlineStr">
        <is>
          <t>通過する主な層</t>
        </is>
      </c>
    </row>
    <row r="17">
      <c r="A17" s="10" t="n">
        <v>1</v>
      </c>
      <c r="B17" s="11" t="n">
        <v>1.092592592592593</v>
      </c>
      <c r="C17" s="12" t="n">
        <v>0.4004148127728676</v>
      </c>
      <c r="D17" s="13" t="n">
        <v>0.0007327591073743477</v>
      </c>
      <c r="E17" s="5" t="inlineStr">
        <is>
          <t>関東ローム内</t>
        </is>
      </c>
    </row>
    <row r="18">
      <c r="A18" s="14" t="n">
        <v>2</v>
      </c>
      <c r="B18" s="15" t="n">
        <v>1.092592592592593</v>
      </c>
      <c r="C18" s="16" t="n">
        <v>0.1603320222879306</v>
      </c>
      <c r="D18" s="17" t="n">
        <v>0.000293407600786913</v>
      </c>
      <c r="E18" s="18" t="inlineStr">
        <is>
          <t>関東ローム内</t>
        </is>
      </c>
    </row>
    <row r="19">
      <c r="A19" s="14" t="n">
        <v>3</v>
      </c>
      <c r="B19" s="15" t="n">
        <v>1.092592592592593</v>
      </c>
      <c r="C19" s="16" t="n">
        <v>0.06419931668591695</v>
      </c>
      <c r="D19" s="17" t="n">
        <v>0.000117484749535228</v>
      </c>
      <c r="E19" s="18" t="inlineStr">
        <is>
          <t>関東ローム内</t>
        </is>
      </c>
    </row>
    <row r="20">
      <c r="A20" s="10" t="n">
        <v>5</v>
      </c>
      <c r="B20" s="11" t="n">
        <v>0.893939393939394</v>
      </c>
      <c r="C20" s="12" t="n">
        <v>0.006853122799464616</v>
      </c>
      <c r="D20" s="13" t="n">
        <v>1.254121472302025e-05</v>
      </c>
      <c r="E20" s="5" t="inlineStr">
        <is>
          <t>常総粘土に到達</t>
        </is>
      </c>
    </row>
    <row r="21">
      <c r="A21" s="10" t="n">
        <v>10</v>
      </c>
      <c r="B21" s="11" t="n">
        <v>0.7972972972972973</v>
      </c>
      <c r="C21" s="12" t="n">
        <v>1.295229859176952e-05</v>
      </c>
      <c r="D21" s="13" t="n">
        <v>2.370270642293822e-08</v>
      </c>
      <c r="E21" s="5" t="inlineStr">
        <is>
          <t>下総層群</t>
        </is>
      </c>
    </row>
    <row r="23">
      <c r="A23" s="19" t="inlineStr">
        <is>
          <t>黄色行（2–3 m）が今年度の狙いどころ：まだ測れるが、地上との差がはっきり出る。</t>
        </is>
      </c>
    </row>
  </sheetData>
  <mergeCells count="10">
    <mergeCell ref="A13:G13"/>
    <mergeCell ref="B7:F7"/>
    <mergeCell ref="A1:G1"/>
    <mergeCell ref="B6:F6"/>
    <mergeCell ref="A12:G12"/>
    <mergeCell ref="B5:F5"/>
    <mergeCell ref="A2:G2"/>
    <mergeCell ref="B8:F8"/>
    <mergeCell ref="A11:G1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22" customWidth="1" min="4" max="4"/>
    <col width="18" customWidth="1" min="5" max="5"/>
  </cols>
  <sheetData>
    <row r="1">
      <c r="A1" s="20" t="inlineStr">
        <is>
          <t>KEK（つくば市大穂）周辺の地質</t>
        </is>
      </c>
    </row>
    <row r="2">
      <c r="A2" s="2" t="inlineStr">
        <is>
          <t>位置: 茨城県つくば市大穂（筑波台地）。標高おおむね 20–40 m。</t>
        </is>
      </c>
    </row>
    <row r="4">
      <c r="A4" s="3" t="inlineStr">
        <is>
          <t>浅層の標準層序（上から下へ）</t>
        </is>
      </c>
    </row>
    <row r="5" ht="28" customHeight="1">
      <c r="A5" s="9" t="inlineStr">
        <is>
          <t>深さの目安</t>
        </is>
      </c>
      <c r="B5" s="9" t="inlineStr">
        <is>
          <t>地層名</t>
        </is>
      </c>
      <c r="C5" s="9" t="inlineStr">
        <is>
          <t>岩相・特徴</t>
        </is>
      </c>
      <c r="D5" s="9" t="inlineStr">
        <is>
          <t>湿潤密度 ρ (g/cm³)</t>
        </is>
      </c>
      <c r="E5" s="9" t="inlineStr">
        <is>
          <t>本予測での扱い</t>
        </is>
      </c>
    </row>
    <row r="6" ht="48" customHeight="1">
      <c r="A6" s="10" t="inlineStr">
        <is>
          <t>表層 0–数m</t>
        </is>
      </c>
      <c r="B6" s="5" t="inlineStr">
        <is>
          <t>関東ローム層（新期ローム）</t>
        </is>
      </c>
      <c r="C6" s="5" t="inlineStr">
        <is>
          <t>火山灰質粘性土。含水比高く多孔質。透水性は団粒のため比較的高い。</t>
        </is>
      </c>
      <c r="D6" s="5" t="inlineStr">
        <is>
          <t>1.2–1.5（代表 1.35）</t>
        </is>
      </c>
      <c r="E6" s="5" t="inlineStr">
        <is>
          <t>最上層として採用</t>
        </is>
      </c>
    </row>
    <row r="7" ht="48" customHeight="1">
      <c r="A7" s="10" t="inlineStr">
        <is>
          <t>その下 0.15–4 m厚</t>
        </is>
      </c>
      <c r="B7" s="5" t="inlineStr">
        <is>
          <t>常総粘土層</t>
        </is>
      </c>
      <c r="C7" s="5" t="inlineStr">
        <is>
          <t>筑波台地でローム直下に広く分布する凝灰質粘土。難透水。層厚は場所で大きく変化。</t>
        </is>
      </c>
      <c r="D7" s="5" t="inlineStr">
        <is>
          <t>約 1.65</t>
        </is>
      </c>
      <c r="E7" s="5" t="inlineStr">
        <is>
          <t>ローム下の第2層</t>
        </is>
      </c>
    </row>
    <row r="8" ht="48" customHeight="1">
      <c r="A8" s="10" t="inlineStr">
        <is>
          <t>さらに下位</t>
        </is>
      </c>
      <c r="B8" s="5" t="inlineStr">
        <is>
          <t>下総層群（常総層・木下層など）</t>
        </is>
      </c>
      <c r="C8" s="5" t="inlineStr">
        <is>
          <t>更新統の砂・泥互層。つくば地下100 m以浅に広く分布。</t>
        </is>
      </c>
      <c r="D8" s="5" t="inlineStr">
        <is>
          <t>砂泥 1.7–2.0（代表 1.85）</t>
        </is>
      </c>
      <c r="E8" s="5" t="inlineStr">
        <is>
          <t>5 m以深の本体</t>
        </is>
      </c>
    </row>
    <row r="9" ht="48" customHeight="1">
      <c r="A9" s="10" t="inlineStr">
        <is>
          <t>深部（参考）</t>
        </is>
      </c>
      <c r="B9" s="5" t="inlineStr">
        <is>
          <t>上総層群〜基盤</t>
        </is>
      </c>
      <c r="C9" s="5" t="inlineStr">
        <is>
          <t>より古い堆積岩・変成岩（温泉ボーリング等で確認）。浅い地下実験では非対象。</t>
        </is>
      </c>
      <c r="D9" s="5" t="inlineStr">
        <is>
          <t>—</t>
        </is>
      </c>
      <c r="E9" s="5" t="inlineStr">
        <is>
          <t>今回の予測範囲外</t>
        </is>
      </c>
    </row>
    <row r="11">
      <c r="A11" s="3" t="inlineStr">
        <is>
          <t>本予測で使う簡易柱状モデル（仮定）</t>
        </is>
      </c>
    </row>
    <row r="12" ht="28" customHeight="1">
      <c r="A12" s="21" t="inlineStr">
        <is>
          <t>深度区間 (m)</t>
        </is>
      </c>
      <c r="B12" s="21" t="inlineStr">
        <is>
          <t>地層</t>
        </is>
      </c>
      <c r="C12" s="21" t="inlineStr">
        <is>
          <t>密度 ρ</t>
        </is>
      </c>
      <c r="D12" s="21" t="inlineStr">
        <is>
          <t>平均自由行程 λ (m)</t>
        </is>
      </c>
      <c r="E12" s="21" t="inlineStr">
        <is>
          <t>区間の面密度 ΔX (g/cm²)</t>
        </is>
      </c>
    </row>
    <row r="13">
      <c r="A13" s="10" t="inlineStr">
        <is>
          <t>0 – 3</t>
        </is>
      </c>
      <c r="B13" s="5" t="inlineStr">
        <is>
          <t>関東ローム</t>
        </is>
      </c>
      <c r="C13" s="11" t="n">
        <v>1.35</v>
      </c>
      <c r="D13" s="11" t="n">
        <v>1.092592592592593</v>
      </c>
      <c r="E13" s="22" t="n">
        <v>405.0000000000001</v>
      </c>
    </row>
    <row r="14">
      <c r="A14" s="10" t="inlineStr">
        <is>
          <t>3 – 5</t>
        </is>
      </c>
      <c r="B14" s="5" t="inlineStr">
        <is>
          <t>常総粘土</t>
        </is>
      </c>
      <c r="C14" s="11" t="n">
        <v>1.65</v>
      </c>
      <c r="D14" s="11" t="n">
        <v>0.893939393939394</v>
      </c>
      <c r="E14" s="22" t="n">
        <v>330</v>
      </c>
    </row>
    <row r="15">
      <c r="A15" s="10" t="inlineStr">
        <is>
          <t>5 – 10</t>
        </is>
      </c>
      <c r="B15" s="5" t="inlineStr">
        <is>
          <t>下総層群（砂泥）</t>
        </is>
      </c>
      <c r="C15" s="11" t="n">
        <v>1.85</v>
      </c>
      <c r="D15" s="11" t="n">
        <v>0.7972972972972973</v>
      </c>
      <c r="E15" s="22" t="n">
        <v>925</v>
      </c>
    </row>
    <row r="16">
      <c r="A16" s="10" t="inlineStr">
        <is>
          <t>10 – 20</t>
        </is>
      </c>
      <c r="B16" s="5" t="inlineStr">
        <is>
          <t>下総層群（砂泥）</t>
        </is>
      </c>
      <c r="C16" s="11" t="n">
        <v>1.85</v>
      </c>
      <c r="D16" s="11" t="n">
        <v>0.7972972972972973</v>
      </c>
      <c r="E16" s="22" t="n">
        <v>1850</v>
      </c>
    </row>
    <row r="18">
      <c r="A18" s="2" t="inlineStr">
        <is>
          <t>空気中の平均自由行程 λ_air = 1475 m。土中は λ = λ_air × (ρ_air / ρ_土)。</t>
        </is>
      </c>
    </row>
    <row r="20">
      <c r="A20" s="23" t="inlineStr">
        <is>
          <t>注意（地質のばらつき）</t>
        </is>
      </c>
    </row>
    <row r="21">
      <c r="A21" s="24" t="inlineStr">
        <is>
          <t>・常総粘土の厚さは筑波台地で 15–400 cm と幅が大きい。実測地点のボーリングがあれば差し替えること。</t>
        </is>
      </c>
    </row>
    <row r="22">
      <c r="A22" s="24" t="inlineStr">
        <is>
          <t>・ローム厚も場所依存。KEK構内の掘削記録・建築図があれば最優先で使う。</t>
        </is>
      </c>
    </row>
    <row r="23">
      <c r="A23" s="24" t="inlineStr">
        <is>
          <t>・コンクリート床・建物自体も覆土として加算する（ρ≈2.3 g/cm³ 程度）。</t>
        </is>
      </c>
    </row>
    <row r="24">
      <c r="A24" s="24" t="inlineStr">
        <is>
          <t>・確認用: 産総研「地質図Navi」https://gbank.gsj.jp/geonavi/ ／ 関東平野の地下地質・地盤DB</t>
        </is>
      </c>
    </row>
  </sheetData>
  <mergeCells count="5">
    <mergeCell ref="A21:E21"/>
    <mergeCell ref="A24:E24"/>
    <mergeCell ref="A23:E23"/>
    <mergeCell ref="A22:E22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24" customWidth="1" min="8" max="8"/>
    <col width="3" customWidth="1" min="9" max="9"/>
    <col width="12" customWidth="1" min="10" max="10"/>
    <col width="14" customWidth="1" min="11" max="11"/>
  </cols>
  <sheetData>
    <row r="1">
      <c r="A1" s="20" t="inlineStr">
        <is>
          <t>地下フラックス予測（KEK地質モデル × 平均自由行程）</t>
        </is>
      </c>
    </row>
    <row r="2">
      <c r="A2" s="25" t="inlineStr">
        <is>
          <t>φ(d) ≈ φ₀ · exp(−d/λ)　空気中 λ ≈ 1470 m（熱中性子・管理棟1階→白根山）　土中 λ = 1470 × (0.001 / ρ)　φ₀ = 1.83×10⁻³</t>
        </is>
      </c>
    </row>
    <row r="4">
      <c r="A4" s="3" t="inlineStr">
        <is>
          <t>深さプロファイル（宇宙線大気起源成分の粗い予測）</t>
        </is>
      </c>
    </row>
    <row r="5" ht="28" customHeight="1">
      <c r="A5" s="9" t="inlineStr">
        <is>
          <t>深さ d (m)</t>
        </is>
      </c>
      <c r="B5" s="9" t="inlineStr">
        <is>
          <t>その層のλ (m)</t>
        </is>
      </c>
      <c r="C5" s="9" t="inlineStr">
        <is>
          <t>熱 残存率</t>
        </is>
      </c>
      <c r="D5" s="9" t="inlineStr">
        <is>
          <t>熱 予測φ</t>
        </is>
      </c>
      <c r="E5" s="9" t="inlineStr">
        <is>
          <t>MeV 残存率(参考)</t>
        </is>
      </c>
      <c r="F5" s="9" t="inlineStr">
        <is>
          <t>MeV 予測φ(参考)</t>
        </is>
      </c>
      <c r="G5" s="9" t="inlineStr">
        <is>
          <t>層の位置</t>
        </is>
      </c>
      <c r="H5" s="9" t="inlineStr">
        <is>
          <t>測定の狙い</t>
        </is>
      </c>
      <c r="J5" s="26" t="inlineStr">
        <is>
          <t>深さ (m)</t>
        </is>
      </c>
      <c r="K5" s="26" t="inlineStr">
        <is>
          <t>熱残存率 (%)</t>
        </is>
      </c>
    </row>
    <row r="6">
      <c r="A6" s="27" t="n">
        <v>0</v>
      </c>
      <c r="B6" s="11" t="n">
        <v>1.092592592592593</v>
      </c>
      <c r="C6" s="12" t="n">
        <v>1</v>
      </c>
      <c r="D6" s="13" t="n">
        <v>0.00183</v>
      </c>
      <c r="E6" s="12" t="n">
        <v>1</v>
      </c>
      <c r="F6" s="13" t="n">
        <v>0.000725</v>
      </c>
      <c r="G6" s="5" t="inlineStr">
        <is>
          <t>関東ローム内</t>
        </is>
      </c>
      <c r="H6" s="5" t="inlineStr">
        <is>
          <t>地上基準（昨年度相当）</t>
        </is>
      </c>
      <c r="J6" s="22" t="n">
        <v>0</v>
      </c>
      <c r="K6" s="27" t="n">
        <v>100</v>
      </c>
    </row>
    <row r="7">
      <c r="A7" s="27" t="n">
        <v>0.5</v>
      </c>
      <c r="B7" s="11" t="n">
        <v>1.092592592592593</v>
      </c>
      <c r="C7" s="12" t="n">
        <v>0.6327833853483098</v>
      </c>
      <c r="D7" s="13" t="n">
        <v>0.001157993595187407</v>
      </c>
      <c r="E7" s="12" t="n">
        <v>0.508468147582712</v>
      </c>
      <c r="F7" s="13" t="n">
        <v>0.0003686394069974661</v>
      </c>
      <c r="G7" s="5" t="inlineStr">
        <is>
          <t>関東ローム内</t>
        </is>
      </c>
      <c r="H7" s="5" t="inlineStr"/>
      <c r="J7" s="22" t="n">
        <v>1</v>
      </c>
      <c r="K7" s="27" t="n">
        <v>40.04148127728676</v>
      </c>
    </row>
    <row r="8">
      <c r="A8" s="27" t="n">
        <v>1</v>
      </c>
      <c r="B8" s="11" t="n">
        <v>1.092592592592593</v>
      </c>
      <c r="C8" s="12" t="n">
        <v>0.4004148127728676</v>
      </c>
      <c r="D8" s="13" t="n">
        <v>0.0007327591073743477</v>
      </c>
      <c r="E8" s="12" t="n">
        <v>0.2585398571061946</v>
      </c>
      <c r="F8" s="13" t="n">
        <v>0.0001874413964019911</v>
      </c>
      <c r="G8" s="5" t="inlineStr">
        <is>
          <t>関東ローム内</t>
        </is>
      </c>
      <c r="H8" s="5" t="inlineStr">
        <is>
          <t>差が出始める</t>
        </is>
      </c>
      <c r="J8" s="22" t="n">
        <v>2</v>
      </c>
      <c r="K8" s="27" t="n">
        <v>16.03320222879306</v>
      </c>
    </row>
    <row r="9">
      <c r="A9" s="27" t="n">
        <v>1.5</v>
      </c>
      <c r="B9" s="11" t="n">
        <v>1.092592592592593</v>
      </c>
      <c r="C9" s="12" t="n">
        <v>0.2533758407700248</v>
      </c>
      <c r="D9" s="13" t="n">
        <v>0.0004636777886091453</v>
      </c>
      <c r="E9" s="12" t="n">
        <v>0.1314592822190858</v>
      </c>
      <c r="F9" s="13" t="n">
        <v>9.53079796088372e-05</v>
      </c>
      <c r="G9" s="5" t="inlineStr">
        <is>
          <t>関東ローム内</t>
        </is>
      </c>
      <c r="H9" s="5" t="inlineStr"/>
      <c r="J9" s="22" t="n">
        <v>3</v>
      </c>
      <c r="K9" s="27" t="n">
        <v>6.419931668591696</v>
      </c>
    </row>
    <row r="10">
      <c r="A10" s="28" t="n">
        <v>2</v>
      </c>
      <c r="B10" s="15" t="n">
        <v>1.092592592592593</v>
      </c>
      <c r="C10" s="16" t="n">
        <v>0.1603320222879306</v>
      </c>
      <c r="D10" s="17" t="n">
        <v>0.000293407600786913</v>
      </c>
      <c r="E10" s="16" t="n">
        <v>0.06684285771249153</v>
      </c>
      <c r="F10" s="17" t="n">
        <v>4.846107184155635e-05</v>
      </c>
      <c r="G10" s="18" t="inlineStr">
        <is>
          <t>関東ローム内</t>
        </is>
      </c>
      <c r="H10" s="18" t="inlineStr">
        <is>
          <t>推奨① はっきり減る</t>
        </is>
      </c>
      <c r="J10" s="22" t="n">
        <v>5</v>
      </c>
      <c r="K10" s="27" t="n">
        <v>0.6853122799464616</v>
      </c>
    </row>
    <row r="11">
      <c r="A11" s="27" t="n">
        <v>2.5</v>
      </c>
      <c r="B11" s="11" t="n">
        <v>1.092592592592593</v>
      </c>
      <c r="C11" s="12" t="n">
        <v>0.1014554398430974</v>
      </c>
      <c r="D11" s="13" t="n">
        <v>0.0001856634549128682</v>
      </c>
      <c r="E11" s="12" t="n">
        <v>0.03398746404020535</v>
      </c>
      <c r="F11" s="13" t="n">
        <v>2.464091142914888e-05</v>
      </c>
      <c r="G11" s="5" t="inlineStr">
        <is>
          <t>関東ローム内</t>
        </is>
      </c>
      <c r="H11" s="5" t="inlineStr"/>
      <c r="J11" s="22" t="n">
        <v>10</v>
      </c>
      <c r="K11" s="27" t="n">
        <v>0.001295229859176952</v>
      </c>
    </row>
    <row r="12">
      <c r="A12" s="28" t="n">
        <v>3</v>
      </c>
      <c r="B12" s="15" t="n">
        <v>1.092592592592593</v>
      </c>
      <c r="C12" s="16" t="n">
        <v>0.06419931668591695</v>
      </c>
      <c r="D12" s="17" t="n">
        <v>0.000117484749535228</v>
      </c>
      <c r="E12" s="16" t="n">
        <v>0.01728154288155725</v>
      </c>
      <c r="F12" s="17" t="n">
        <v>1.252911858912901e-05</v>
      </c>
      <c r="G12" s="18" t="inlineStr">
        <is>
          <t>関東ローム内</t>
        </is>
      </c>
      <c r="H12" s="18" t="inlineStr">
        <is>
          <t>推奨② ローム底付近</t>
        </is>
      </c>
    </row>
    <row r="13">
      <c r="A13" s="27" t="n">
        <v>4</v>
      </c>
      <c r="B13" s="11" t="n">
        <v>0.893939393939394</v>
      </c>
      <c r="C13" s="12" t="n">
        <v>0.02097536175827026</v>
      </c>
      <c r="D13" s="13" t="n">
        <v>3.838491201763458e-05</v>
      </c>
      <c r="E13" s="12" t="n">
        <v>0.003307962474688597</v>
      </c>
      <c r="F13" s="13" t="n">
        <v>2.398272794149233e-06</v>
      </c>
      <c r="G13" s="5" t="inlineStr">
        <is>
          <t>常総粘土に到達</t>
        </is>
      </c>
      <c r="H13" s="5" t="inlineStr"/>
    </row>
    <row r="14">
      <c r="A14" s="29" t="n">
        <v>5</v>
      </c>
      <c r="B14" s="30" t="n">
        <v>0.893939393939394</v>
      </c>
      <c r="C14" s="31" t="n">
        <v>0.006853122799464616</v>
      </c>
      <c r="D14" s="32" t="n">
        <v>1.254121472302025e-05</v>
      </c>
      <c r="E14" s="31" t="n">
        <v>0.0006331966890309193</v>
      </c>
      <c r="F14" s="32" t="n">
        <v>4.590675995474164e-07</v>
      </c>
      <c r="G14" s="33" t="inlineStr">
        <is>
          <t>常総粘土に到達</t>
        </is>
      </c>
      <c r="H14" s="33" t="inlineStr">
        <is>
          <t>大気起源はほぼ消える</t>
        </is>
      </c>
    </row>
    <row r="15">
      <c r="A15" s="27" t="n">
        <v>6</v>
      </c>
      <c r="B15" s="11" t="n">
        <v>0.7972972972972973</v>
      </c>
      <c r="C15" s="12" t="n">
        <v>0.001955150442943568</v>
      </c>
      <c r="D15" s="13" t="n">
        <v>3.57792531058673e-06</v>
      </c>
      <c r="E15" s="12" t="n">
        <v>9.919361866191258e-05</v>
      </c>
      <c r="F15" s="13" t="n">
        <v>7.191537352988662e-08</v>
      </c>
      <c r="G15" s="5" t="inlineStr">
        <is>
          <t>下総層群</t>
        </is>
      </c>
      <c r="H15" s="5" t="inlineStr"/>
    </row>
    <row r="16">
      <c r="A16" s="27" t="n">
        <v>8</v>
      </c>
      <c r="B16" s="11" t="n">
        <v>0.7972972972972973</v>
      </c>
      <c r="C16" s="12" t="n">
        <v>0.0001591341959757095</v>
      </c>
      <c r="D16" s="13" t="n">
        <v>2.912155786355484e-07</v>
      </c>
      <c r="E16" s="12" t="n">
        <v>2.434299059591684e-06</v>
      </c>
      <c r="F16" s="13" t="n">
        <v>1.764866818203971e-09</v>
      </c>
      <c r="G16" s="5" t="inlineStr">
        <is>
          <t>下総層群</t>
        </is>
      </c>
      <c r="H16" s="5" t="inlineStr"/>
    </row>
    <row r="17">
      <c r="A17" s="34" t="n">
        <v>10</v>
      </c>
      <c r="B17" s="35" t="n">
        <v>0.7972972972972973</v>
      </c>
      <c r="C17" s="36" t="n">
        <v>1.295229859176952e-05</v>
      </c>
      <c r="D17" s="37" t="n">
        <v>2.370270642293822e-08</v>
      </c>
      <c r="E17" s="36" t="n">
        <v>5.973985011804281e-08</v>
      </c>
      <c r="F17" s="37" t="n">
        <v>4.331139133558103e-11</v>
      </c>
      <c r="G17" s="38" t="inlineStr">
        <is>
          <t>下総層群</t>
        </is>
      </c>
      <c r="H17" s="38" t="inlineStr">
        <is>
          <t>放射起源フロア候補</t>
        </is>
      </c>
    </row>
    <row r="18">
      <c r="A18" s="25" t="inlineStr">
        <is>
          <t>色: 黄=推奨深さ / オレンジ=大気起源ほぼ消失 / 緑=放射起源が支配しうる深さ</t>
        </is>
      </c>
    </row>
  </sheetData>
  <mergeCells count="1">
    <mergeCell ref="A18:H1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22" customWidth="1" min="4" max="4"/>
    <col width="22" customWidth="1" min="5" max="5"/>
    <col width="18" customWidth="1" min="6" max="6"/>
  </cols>
  <sheetData>
    <row r="1">
      <c r="A1" s="20" t="inlineStr">
        <is>
          <t>地下測定の計画（KEK向け）</t>
        </is>
      </c>
    </row>
    <row r="3">
      <c r="A3" s="3" t="inlineStr">
        <is>
          <t>推奨測定セット</t>
        </is>
      </c>
    </row>
    <row r="4" ht="28" customHeight="1">
      <c r="A4" s="9" t="inlineStr">
        <is>
          <t>優先</t>
        </is>
      </c>
      <c r="B4" s="9" t="inlineStr">
        <is>
          <t>地点イメージ</t>
        </is>
      </c>
      <c r="C4" s="9" t="inlineStr">
        <is>
          <t>深さ/覆土</t>
        </is>
      </c>
      <c r="D4" s="9" t="inlineStr">
        <is>
          <t>期待される熱中性子</t>
        </is>
      </c>
      <c r="E4" s="9" t="inlineStr">
        <is>
          <t>ねらい</t>
        </is>
      </c>
      <c r="F4" s="9" t="inlineStr">
        <is>
          <t>測定時間の目安</t>
        </is>
      </c>
    </row>
    <row r="5" ht="36" customHeight="1">
      <c r="A5" s="10" t="inlineStr">
        <is>
          <t>必須</t>
        </is>
      </c>
      <c r="B5" s="5" t="inlineStr">
        <is>
          <t>屋外または管理棟1階相当の地上</t>
        </is>
      </c>
      <c r="C5" s="5" t="inlineStr">
        <is>
          <t>0 m（基準）</t>
        </is>
      </c>
      <c r="D5" s="5" t="inlineStr">
        <is>
          <t>〜1.83E-03（昨年度1階）</t>
        </is>
      </c>
      <c r="E5" s="5" t="inlineStr">
        <is>
          <t>基準の再現・較正</t>
        </is>
      </c>
      <c r="F5" s="5" t="inlineStr">
        <is>
          <t>昨年度並み</t>
        </is>
      </c>
    </row>
    <row r="6" ht="36" customHeight="1">
      <c r="A6" s="14" t="inlineStr">
        <is>
          <t>必須</t>
        </is>
      </c>
      <c r="B6" s="18" t="inlineStr">
        <is>
          <t>浅い地下／ピット／B1</t>
        </is>
      </c>
      <c r="C6" s="18" t="inlineStr">
        <is>
          <t>約 2–3 m 相当</t>
        </is>
      </c>
      <c r="D6" s="18" t="inlineStr">
        <is>
          <t>地上の約 6–16%</t>
        </is>
      </c>
      <c r="E6" s="18" t="inlineStr">
        <is>
          <t>λ の検証（一番効く）</t>
        </is>
      </c>
      <c r="F6" s="18" t="inlineStr">
        <is>
          <t>地上の 5–20 倍</t>
        </is>
      </c>
    </row>
    <row r="7" ht="36" customHeight="1">
      <c r="A7" s="10" t="inlineStr">
        <is>
          <t>推奨</t>
        </is>
      </c>
      <c r="B7" s="5" t="inlineStr">
        <is>
          <t>やや深い地下</t>
        </is>
      </c>
      <c r="C7" s="5" t="inlineStr">
        <is>
          <t>約 5 m 相当</t>
        </is>
      </c>
      <c r="D7" s="5" t="inlineStr">
        <is>
          <t>地上の &lt;1%</t>
        </is>
      </c>
      <c r="E7" s="5" t="inlineStr">
        <is>
          <t>大気起源の消失確認</t>
        </is>
      </c>
      <c r="F7" s="5" t="inlineStr">
        <is>
          <t>地上の 50–100 倍</t>
        </is>
      </c>
    </row>
    <row r="8" ht="36" customHeight="1">
      <c r="A8" s="10" t="inlineStr">
        <is>
          <t>発展</t>
        </is>
      </c>
      <c r="B8" s="5" t="inlineStr">
        <is>
          <t>十分深い点</t>
        </is>
      </c>
      <c r="C8" s="5" t="inlineStr">
        <is>
          <t>≳10 m 相当</t>
        </is>
      </c>
      <c r="D8" s="5" t="inlineStr">
        <is>
          <t>ほぼフロア</t>
        </is>
      </c>
      <c r="E8" s="5" t="inlineStr">
        <is>
          <t>放射起源の有無</t>
        </is>
      </c>
      <c r="F8" s="5" t="inlineStr">
        <is>
          <t>可能な限り長く</t>
        </is>
      </c>
    </row>
    <row r="10">
      <c r="A10" s="3" t="inlineStr">
        <is>
          <t>記録必須項目（地質を活かすため）</t>
        </is>
      </c>
    </row>
    <row r="11">
      <c r="A11" s="39" t="inlineStr">
        <is>
          <t>□ 標高・深さ（GLからの深さ）</t>
        </is>
      </c>
    </row>
    <row r="12">
      <c r="A12" s="39" t="inlineStr">
        <is>
          <t>□ 覆土／床／天井の材質と厚さ（コンクリート厚を必ず）</t>
        </is>
      </c>
    </row>
    <row r="13">
      <c r="A13" s="39" t="inlineStr">
        <is>
          <t>□ 可能なら構内ボーリング柱状図との対応</t>
        </is>
      </c>
    </row>
    <row r="14">
      <c r="A14" s="39" t="inlineStr">
        <is>
          <t>□ 気圧・気温（大気側の補正）</t>
        </is>
      </c>
    </row>
    <row r="15">
      <c r="A15" s="39" t="inlineStr">
        <is>
          <t>□ 熱中性子と MeV を同一条件でペア測定</t>
        </is>
      </c>
    </row>
    <row r="16">
      <c r="A16" s="39" t="inlineStr">
        <is>
          <t>□ 屋内か屋外か、周囲の壁・水の有無（熱に効く）</t>
        </is>
      </c>
    </row>
    <row r="18">
      <c r="A18" s="3" t="inlineStr">
        <is>
          <t>成功の判定</t>
        </is>
      </c>
    </row>
    <row r="19">
      <c r="A19" s="39" t="inlineStr">
        <is>
          <t>2–3 m 点の熱中性子が、予測（残存率おおよそ 6–16%）のオーダーに入れば、管理棟1階基準の λ≈1470 m とKEK地質モデルが整合。</t>
        </is>
      </c>
    </row>
    <row r="20">
      <c r="A20" s="39" t="inlineStr">
        <is>
          <t>MeV が熱中性子より速く減れば、昨年どおり MeV の λ が短い（約 1000 m）ことと整合する。</t>
        </is>
      </c>
    </row>
  </sheetData>
  <mergeCells count="8">
    <mergeCell ref="A12:E12"/>
    <mergeCell ref="A16:E16"/>
    <mergeCell ref="A19:F19"/>
    <mergeCell ref="A15:E15"/>
    <mergeCell ref="A11:E11"/>
    <mergeCell ref="A13:E13"/>
    <mergeCell ref="A14:E14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20" t="inlineStr">
        <is>
          <t>根拠・参照</t>
        </is>
      </c>
    </row>
    <row r="3" ht="28" customHeight="1">
      <c r="A3" s="9" t="inlineStr">
        <is>
          <t>項目</t>
        </is>
      </c>
      <c r="B3" s="9" t="inlineStr">
        <is>
          <t>内容</t>
        </is>
      </c>
    </row>
    <row r="4" ht="32" customHeight="1">
      <c r="A4" s="40" t="inlineStr">
        <is>
          <t>平均自由行程</t>
        </is>
      </c>
      <c r="B4" s="5" t="inlineStr">
        <is>
          <t>熱中性子・管理棟1階→白根山: Δh=2000 m、Λ≈147 g/cm²、空気中 λ≈1470 m（一様密度 ρ_air=1.00×10⁻³ g/cm³）。昨年と同じ定義。</t>
        </is>
      </c>
    </row>
    <row r="5" ht="32" customHeight="1">
      <c r="A5" s="40" t="inlineStr">
        <is>
          <t>地形</t>
        </is>
      </c>
      <c r="B5" s="5" t="inlineStr">
        <is>
          <t>KEKは筑波台地（標高おおむね20–40 m）上</t>
        </is>
      </c>
    </row>
    <row r="6" ht="32" customHeight="1">
      <c r="A6" s="40" t="inlineStr">
        <is>
          <t>層序</t>
        </is>
      </c>
      <c r="B6" s="5" t="inlineStr">
        <is>
          <t>表層=関東ローム → 常総粘土 → 下総層群（宇野沢ほか1988、坂田ほか 2018/2024 など）</t>
        </is>
      </c>
    </row>
    <row r="7" ht="32" customHeight="1">
      <c r="A7" s="40" t="inlineStr">
        <is>
          <t>常総粘土</t>
        </is>
      </c>
      <c r="B7" s="5" t="inlineStr">
        <is>
          <t>筑波台地でローム直下に広く分布。層厚15–400 cm。湿潤密度〜1.65 g/cm³</t>
        </is>
      </c>
    </row>
    <row r="8" ht="32" customHeight="1">
      <c r="A8" s="40" t="inlineStr">
        <is>
          <t>関東ローム密度</t>
        </is>
      </c>
      <c r="B8" s="5" t="inlineStr">
        <is>
          <t>湿潤密度 1.2–1.5 g/cm³（代表1.35を使用）</t>
        </is>
      </c>
    </row>
    <row r="9" ht="32" customHeight="1">
      <c r="A9" s="40" t="inlineStr">
        <is>
          <t>地下中性子</t>
        </is>
      </c>
      <c r="B9" s="5" t="inlineStr">
        <is>
          <t>浅い地下で大気起源が消え、深いと放射起源・ミュオン二次が支配（神岡・低レベル測定の文献）</t>
        </is>
      </c>
    </row>
    <row r="10" ht="32" customHeight="1">
      <c r="A10" s="40" t="inlineStr">
        <is>
          <t>地図</t>
        </is>
      </c>
      <c r="B10" s="5" t="inlineStr">
        <is>
          <t>産総研 地質図Navi https://gbank.gsj.jp/geonavi/</t>
        </is>
      </c>
    </row>
    <row r="11" ht="32" customHeight="1">
      <c r="A11" s="40" t="inlineStr">
        <is>
          <t>限界</t>
        </is>
      </c>
      <c r="B11" s="5" t="inlineStr">
        <is>
          <t>本予測は宇宙線大気起源の指数減衰のみ。放射起源フロアやミュオン二次は別途見積が必要。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2026-08-18T04:56:04Z</dcterms:created>
  <dcterms:modified xsi:type="dcterms:W3CDTF">2026-08-18T04:56:04Z</dcterms:modified>
</cp:coreProperties>
</file>