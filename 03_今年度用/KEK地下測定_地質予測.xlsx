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yuto/KEK_summer/03_今年度用/"/>
    </mc:Choice>
  </mc:AlternateContent>
  <xr:revisionPtr revIDLastSave="0" documentId="13_ncr:1_{CCC22392-D1F7-5240-BA50-5D49FE617A44}" xr6:coauthVersionLast="47" xr6:coauthVersionMax="47" xr10:uidLastSave="{00000000-0000-0000-0000-000000000000}"/>
  <bookViews>
    <workbookView xWindow="0" yWindow="680" windowWidth="30240" windowHeight="17500" activeTab="2" xr2:uid="{00000000-000D-0000-FFFF-FFFF00000000}"/>
  </bookViews>
  <sheets>
    <sheet name="概要" sheetId="1" r:id="rId1"/>
    <sheet name="地質_KEK" sheetId="2" r:id="rId2"/>
    <sheet name="予測" sheetId="3" r:id="rId3"/>
    <sheet name="測定計画" sheetId="4" r:id="rId4"/>
    <sheet name="文献_根拠" sheetId="5" r:id="rId5"/>
  </sheets>
  <calcPr calcId="0"/>
</workbook>
</file>

<file path=xl/sharedStrings.xml><?xml version="1.0" encoding="utf-8"?>
<sst xmlns="http://schemas.openxmlformats.org/spreadsheetml/2006/main" count="160" uniqueCount="141">
  <si>
    <t>KEK地下測定 — 地質に基づく宇宙線中性子予測</t>
  </si>
  <si>
    <t>昨年度9班（Λ≈141 g/cm²）× 筑波台地（KEK大穂）の浅層地質モデル</t>
  </si>
  <si>
    <t>このブックの内容</t>
  </si>
  <si>
    <t>地質_KEK</t>
  </si>
  <si>
    <t>KEK周辺（筑波台地）の表層〜浅部の地質と密度仮定</t>
  </si>
  <si>
    <t>予測</t>
  </si>
  <si>
    <t>層構造を考慮した深さ方向のフラックス予測（主結果・グラフ）</t>
  </si>
  <si>
    <t>測定計画</t>
  </si>
  <si>
    <t>地下測定で記録すべき項目と推奨深さ</t>
  </si>
  <si>
    <t>文献_根拠</t>
  </si>
  <si>
    <t>地質・減衰長の根拠</t>
  </si>
  <si>
    <t>一言でいうと</t>
  </si>
  <si>
    <t>KEKは筑波台地の関東ローム＋常総粘土の上にあり、土の密度が比較的低いため、</t>
  </si>
  <si>
    <t>同じ深さでも岩盤より減衰は緩やか。それでも深さ2–3 mでMeVは地上の十数%以下まで減ると予測。</t>
  </si>
  <si>
    <t>深さ5 m超では大気起源はほぼ消え、放射起源フロアが見え始める可能性。</t>
  </si>
  <si>
    <t>主予測（MeV・地上φ=1.02E-03 基準）</t>
  </si>
  <si>
    <t>深さ (m)</t>
  </si>
  <si>
    <t>累積面密度 X (g/cm²)</t>
  </si>
  <si>
    <t>残存率</t>
  </si>
  <si>
    <t>予測φ (s⁻¹ cm⁻²)</t>
  </si>
  <si>
    <t>通過する主な層</t>
  </si>
  <si>
    <t>関東ローム内</t>
  </si>
  <si>
    <t>常総粘土に到達</t>
  </si>
  <si>
    <t>下総層群</t>
  </si>
  <si>
    <t>黄色行（2–3 m）が今年度の狙いどころ：まだ測れるが、地上との差がはっきり出る。</t>
  </si>
  <si>
    <t>KEK（つくば市大穂）周辺の地質</t>
  </si>
  <si>
    <t>位置: 茨城県つくば市大穂（筑波台地）。標高おおむね 20–40 m。</t>
  </si>
  <si>
    <t>浅層の標準層序（上から下へ）</t>
  </si>
  <si>
    <t>深さの目安</t>
  </si>
  <si>
    <t>地層名</t>
  </si>
  <si>
    <t>岩相・特徴</t>
  </si>
  <si>
    <t>湿潤密度 ρ (g/cm³)</t>
  </si>
  <si>
    <t>本予測での扱い</t>
  </si>
  <si>
    <t>表層 0–数m</t>
  </si>
  <si>
    <t>関東ローム層（新期ローム）</t>
  </si>
  <si>
    <t>火山灰質粘性土。含水比高く多孔質。透水性は団粒のため比較的高い。</t>
  </si>
  <si>
    <t>1.2–1.5（代表 1.35）</t>
  </si>
  <si>
    <t>最上層として採用</t>
  </si>
  <si>
    <t>その下 0.15–4 m厚</t>
  </si>
  <si>
    <t>常総粘土層</t>
  </si>
  <si>
    <t>筑波台地でローム直下に広く分布する凝灰質粘土。難透水。層厚は場所で大きく変化。</t>
  </si>
  <si>
    <t>約 1.65</t>
  </si>
  <si>
    <t>ローム下の第2層</t>
  </si>
  <si>
    <t>さらに下位</t>
  </si>
  <si>
    <t>下総層群（常総層・木下層など）</t>
  </si>
  <si>
    <t>更新統の砂・泥互層。つくば地下100 m以浅に広く分布。</t>
  </si>
  <si>
    <t>砂泥 1.7–2.0（代表 1.85）</t>
  </si>
  <si>
    <t>5 m以深の本体</t>
  </si>
  <si>
    <t>深部（参考）</t>
  </si>
  <si>
    <t>上総層群〜基盤</t>
  </si>
  <si>
    <t>より古い堆積岩・変成岩（温泉ボーリング等で確認）。浅い地下実験では非対象。</t>
  </si>
  <si>
    <t>—</t>
  </si>
  <si>
    <t>今回の予測範囲外</t>
  </si>
  <si>
    <t>本予測で使う簡易柱状モデル（仮定）</t>
  </si>
  <si>
    <t>深度区間 (m)</t>
  </si>
  <si>
    <t>地層</t>
  </si>
  <si>
    <t>密度 ρ</t>
  </si>
  <si>
    <t>区間の面密度 ΔX (g/cm²)</t>
  </si>
  <si>
    <t>累積 X (g/cm²)</t>
  </si>
  <si>
    <t>0 – 3</t>
  </si>
  <si>
    <t>関東ローム</t>
  </si>
  <si>
    <t>3 – 5</t>
  </si>
  <si>
    <t>常総粘土</t>
  </si>
  <si>
    <t>5 – 10</t>
  </si>
  <si>
    <t>下総層群（砂泥）</t>
  </si>
  <si>
    <t>10 – 20</t>
  </si>
  <si>
    <t>注意（地質のばらつき）</t>
  </si>
  <si>
    <t>・常総粘土の厚さは筑波台地で 15–400 cm と幅が大きい。実測地点のボーリングがあれば差し替えること。</t>
  </si>
  <si>
    <t>・ローム厚も場所依存。KEK構内の掘削記録・建築図があれば最優先で使う。</t>
  </si>
  <si>
    <t>・コンクリート床・建物自体も覆土として加算する（ρ≈2.3 g/cm³ 程度）。</t>
  </si>
  <si>
    <t>・確認用: 産総研「地質図Navi」https://gbank.gsj.jp/geonavi/ ／ 関東平野の地下地質・地盤DB</t>
  </si>
  <si>
    <t>地下フラックス予測（KEK地質モデル × 昨年度 Λ）</t>
  </si>
  <si>
    <t>φ(d) ≈ φ₀ · exp(−X(d)/Λ)　Λ = 141.4 g/cm²（昨年度 MeV）　φ₀ = 1.02×10⁻³</t>
  </si>
  <si>
    <t>深さプロファイル（宇宙線大気起源成分の粗い予測）</t>
  </si>
  <si>
    <t>深さ d (m)</t>
  </si>
  <si>
    <t>MeV 残存率</t>
  </si>
  <si>
    <t>MeV 予測φ</t>
  </si>
  <si>
    <t>熱 残存率(参考)</t>
  </si>
  <si>
    <t>熱 予測φ(参考)</t>
  </si>
  <si>
    <t>層の位置</t>
  </si>
  <si>
    <t>MeV残存率 (%)</t>
  </si>
  <si>
    <t>色: 黄=推奨深さ / オレンジ=大気起源ほぼ消失 / 緑=放射起源が支配しうる深さ</t>
  </si>
  <si>
    <t>地下測定の計画（KEK向け）</t>
  </si>
  <si>
    <t>推奨測定セット</t>
  </si>
  <si>
    <t>優先</t>
  </si>
  <si>
    <t>地点イメージ</t>
  </si>
  <si>
    <t>深さ/覆土</t>
  </si>
  <si>
    <t>期待されるMeV</t>
  </si>
  <si>
    <t>ねらい</t>
  </si>
  <si>
    <t>測定時間の目安</t>
  </si>
  <si>
    <t>必須</t>
  </si>
  <si>
    <t>屋外または管理棟相当の地上</t>
  </si>
  <si>
    <t>0 m（基準）</t>
  </si>
  <si>
    <t>〜1.0E-03（昨年度再現）</t>
  </si>
  <si>
    <t>基準の再現・較正</t>
  </si>
  <si>
    <t>昨年度並み</t>
  </si>
  <si>
    <t>浅い地下／ピット／B1</t>
  </si>
  <si>
    <t>約 2–3 m 相当</t>
  </si>
  <si>
    <t>地上の約 6–15%</t>
  </si>
  <si>
    <t>Λの検証（一番効く）</t>
  </si>
  <si>
    <t>地上の 5–20 倍</t>
  </si>
  <si>
    <t>推奨</t>
  </si>
  <si>
    <t>やや深い地下</t>
  </si>
  <si>
    <t>約 5 m 相当</t>
  </si>
  <si>
    <t>地上の &lt;1%</t>
  </si>
  <si>
    <t>大気起源の消失確認</t>
  </si>
  <si>
    <t>地上の 50–100 倍</t>
  </si>
  <si>
    <t>発展</t>
  </si>
  <si>
    <t>十分深い点</t>
  </si>
  <si>
    <t>≳10 m 相当</t>
  </si>
  <si>
    <t>ほぼフロア</t>
  </si>
  <si>
    <t>放射起源の有無</t>
  </si>
  <si>
    <t>可能な限り長く</t>
  </si>
  <si>
    <t>記録必須項目（地質を活かすため）</t>
  </si>
  <si>
    <t>□ 標高・深さ（GLからの深さ）</t>
  </si>
  <si>
    <t>□ 覆土／床／天井の材質と厚さ（コンクリート厚を必ず）</t>
  </si>
  <si>
    <t>□ 可能なら構内ボーリング柱状図との対応</t>
  </si>
  <si>
    <t>□ 気圧・気温（大気側の補正）</t>
  </si>
  <si>
    <t>□ 熱中性子と MeV を同一条件でペア測定</t>
  </si>
  <si>
    <t>□ 屋内か屋外か、周囲の壁・水の有無（熱に効く）</t>
  </si>
  <si>
    <t>成功の判定</t>
  </si>
  <si>
    <t>2–3 m 点の MeV が、予測（残存率おおよそ 6–15%）のオーダーに入れば、昨年度ΛとKEK地質モデルが整合。</t>
  </si>
  <si>
    <t>熱中性子が MeV より減りにくければ、ローム・コンクリート中の熱化／放射起源の寄与として議論できる。</t>
  </si>
  <si>
    <t>根拠・参照</t>
  </si>
  <si>
    <t>項目</t>
  </si>
  <si>
    <t>内容</t>
  </si>
  <si>
    <t>減衰長</t>
  </si>
  <si>
    <t>昨年度9班 MeV・管理棟→白根山 Λ≈141 g/cm²（文献 130–150 と一致）</t>
  </si>
  <si>
    <t>地形</t>
  </si>
  <si>
    <t>KEKは筑波台地（標高おおむね20–40 m）上</t>
  </si>
  <si>
    <t>層序</t>
  </si>
  <si>
    <t>表層=関東ローム → 常総粘土 → 下総層群（宇野沢ほか1988、坂田ほか 2018/2024 など）</t>
  </si>
  <si>
    <t>筑波台地でローム直下に広く分布。層厚15–400 cm。湿潤密度〜1.65 g/cm³</t>
  </si>
  <si>
    <t>関東ローム密度</t>
  </si>
  <si>
    <t>湿潤密度 1.2–1.5 g/cm³（代表1.35を使用）</t>
  </si>
  <si>
    <t>地下中性子</t>
  </si>
  <si>
    <t>浅い地下で大気起源が消え、深いと放射起源・ミュオン二次が支配（神岡・低レベル測定の文献）</t>
  </si>
  <si>
    <t>地図</t>
  </si>
  <si>
    <t>産総研 地質図Navi https://gbank.gsj.jp/geonavi/</t>
  </si>
  <si>
    <t>限界</t>
  </si>
  <si>
    <t>本予測は宇宙線大気起源の指数減衰のみ。放射起源フロアやミュオン二次は別途見積が必要。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</si>
</sst>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"/>
  </numFmts>
  <fonts count="15">
    <font>
      <sz val="11"/>
      <color theme="1"/>
      <name val="ＭＳ Ｐゴシック"/>
      <family val="2"/>
      <scheme val="minor"/>
    </font>
    <font>
      <b/>
      <sz val="18"/>
      <color rgb="FF1F4E79"/>
      <name val="ＭＳ Ｐゴシック"/>
      <family val="2"/>
      <charset val="128"/>
    </font>
    <font>
      <sz val="11"/>
      <color rgb="FF666666"/>
      <name val="ＭＳ Ｐゴシック"/>
      <family val="2"/>
      <charset val="128"/>
    </font>
    <font>
      <b/>
      <sz val="13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11"/>
      <name val="ＭＳ Ｐゴシック"/>
      <family val="2"/>
      <charset val="128"/>
    </font>
    <font>
      <sz val="12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b/>
      <sz val="11"/>
      <color rgb="FFE67E22"/>
      <name val="ＭＳ Ｐゴシック"/>
      <family val="2"/>
      <charset val="128"/>
    </font>
    <font>
      <b/>
      <sz val="16"/>
      <color rgb="FF1F4E79"/>
      <name val="ＭＳ Ｐゴシック"/>
      <family val="2"/>
      <charset val="128"/>
    </font>
    <font>
      <b/>
      <sz val="12"/>
      <color rgb="FFD62728"/>
      <name val="ＭＳ Ｐゴシック"/>
      <family val="2"/>
      <charset val="128"/>
    </font>
    <font>
      <sz val="10"/>
      <name val="ＭＳ Ｐゴシック"/>
      <family val="2"/>
      <charset val="128"/>
    </font>
    <font>
      <sz val="10"/>
      <color rgb="FF666666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2E7D32"/>
      </patternFill>
    </fill>
    <fill>
      <patternFill patternType="solid">
        <fgColor rgb="FFFCE4D6"/>
      </patternFill>
    </fill>
    <fill>
      <patternFill patternType="solid">
        <fgColor rgb="FFE8F5E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11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9" fillId="0" borderId="0" xfId="0" applyFont="1"/>
    <xf numFmtId="0" fontId="7" fillId="5" borderId="1" xfId="0" applyFont="1" applyFill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10" fillId="0" borderId="0" xfId="0" applyFont="1"/>
    <xf numFmtId="0" fontId="12" fillId="0" borderId="0" xfId="0" applyFont="1"/>
    <xf numFmtId="0" fontId="13" fillId="3" borderId="1" xfId="0" applyFont="1" applyFill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5" fillId="6" borderId="1" xfId="0" applyNumberFormat="1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11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177" fontId="5" fillId="7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11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5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" fillId="0" borderId="0" xfId="0" applyFont="1"/>
    <xf numFmtId="0" fontId="2" fillId="0" borderId="0" xfId="0" applyFont="1"/>
    <xf numFmtId="0" fontId="8" fillId="0" borderId="0" xfId="0" applyFont="1"/>
    <xf numFmtId="0" fontId="11" fillId="0" borderId="0" xfId="0" applyFont="1"/>
    <xf numFmtId="0" fontId="12" fillId="0" borderId="0" xfId="0" applyFont="1"/>
    <xf numFmtId="0" fontId="5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KEK</a:t>
            </a:r>
            <a:r>
              <a:rPr lang="ja-JP" altLang="en-US"/>
              <a:t>地質モデル：深さ </a:t>
            </a:r>
            <a:r>
              <a:rPr lang="en"/>
              <a:t>vs </a:t>
            </a:r>
            <a:r>
              <a:rPr lang="ja-JP" altLang="en-US"/>
              <a:t>残存率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MeV（Λ=141）</c:v>
          </c:tx>
          <c:spPr>
            <a:ln w="25000">
              <a:solidFill>
                <a:srgbClr val="D62728"/>
              </a:solidFill>
              <a:prstDash val="solid"/>
            </a:ln>
          </c:spPr>
          <c:marker>
            <c:symbol val="triangle"/>
            <c:size val="8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予測!$A$6:$A$17</c:f>
              <c:numCache>
                <c:formatCode>0.0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予測!$C$6:$C$17</c:f>
              <c:numCache>
                <c:formatCode>0.0%</c:formatCode>
                <c:ptCount val="12"/>
                <c:pt idx="0">
                  <c:v>1</c:v>
                </c:pt>
                <c:pt idx="1">
                  <c:v>0.62041345177760931</c:v>
                </c:pt>
                <c:pt idx="2">
                  <c:v>0.38491285114660789</c:v>
                </c:pt>
                <c:pt idx="3">
                  <c:v>0.2388051106134281</c:v>
                </c:pt>
                <c:pt idx="4">
                  <c:v>0.1481579029778107</c:v>
                </c:pt>
                <c:pt idx="5">
                  <c:v>9.1919155994595686E-2</c:v>
                </c:pt>
                <c:pt idx="6">
                  <c:v>5.7027880855091632E-2</c:v>
                </c:pt>
                <c:pt idx="7">
                  <c:v>1.7754480054800691E-2</c:v>
                </c:pt>
                <c:pt idx="8">
                  <c:v>5.5274991335781207E-3</c:v>
                </c:pt>
                <c:pt idx="9">
                  <c:v>1.493900308803348E-3</c:v>
                </c:pt>
                <c:pt idx="10">
                  <c:v>1.0912078579886449E-4</c:v>
                </c:pt>
                <c:pt idx="11">
                  <c:v>7.9706429024703485E-6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C-A74E-8229-5C067D88898A}"/>
            </c:ext>
          </c:extLst>
        </c:ser>
        <c:ser>
          <c:idx val="1"/>
          <c:order val="1"/>
          <c:tx>
            <c:v>熱（参考 Λ=203）</c:v>
          </c:tx>
          <c:spPr>
            <a:ln w="25000">
              <a:solidFill>
                <a:srgbClr val="1F77B4"/>
              </a:solidFill>
              <a:prstDash val="solid"/>
            </a:ln>
          </c:spPr>
          <c:marker>
            <c:symbol val="circle"/>
            <c:size val="8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予測!$A$6:$A$17</c:f>
              <c:numCache>
                <c:formatCode>0.0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予測!$E$6:$E$17</c:f>
              <c:numCache>
                <c:formatCode>0.0%</c:formatCode>
                <c:ptCount val="12"/>
                <c:pt idx="0">
                  <c:v>1</c:v>
                </c:pt>
                <c:pt idx="1">
                  <c:v>0.71711983728451445</c:v>
                </c:pt>
                <c:pt idx="2">
                  <c:v>0.51426086102696844</c:v>
                </c:pt>
                <c:pt idx="3">
                  <c:v>0.36878666498145379</c:v>
                </c:pt>
                <c:pt idx="4">
                  <c:v>0.26446423318419893</c:v>
                </c:pt>
                <c:pt idx="5">
                  <c:v>0.18965254786862659</c:v>
                </c:pt>
                <c:pt idx="6">
                  <c:v>0.13600360426814301</c:v>
                </c:pt>
                <c:pt idx="7">
                  <c:v>6.0332655370595317E-2</c:v>
                </c:pt>
                <c:pt idx="8">
                  <c:v>2.6764212049045309E-2</c:v>
                </c:pt>
                <c:pt idx="9">
                  <c:v>1.0758924266986301E-2</c:v>
                </c:pt>
                <c:pt idx="10">
                  <c:v>1.738591801413965E-3</c:v>
                </c:pt>
                <c:pt idx="11">
                  <c:v>2.8094829714704801E-4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1C-A74E-8229-5C067D888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深さ </a:t>
                </a:r>
                <a:r>
                  <a:rPr lang="en"/>
                  <a:t>d (m)</a:t>
                </a:r>
              </a:p>
            </c:rich>
          </c:tx>
          <c:overlay val="1"/>
        </c:title>
        <c:numFmt formatCode="0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20"/>
        <c:crosses val="autoZero"/>
        <c:crossBetween val="midCat"/>
        <c:majorUnit val="1"/>
        <c:minorUnit val="0.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宇宙線成分の残存率</a:t>
                </a:r>
              </a:p>
            </c:rich>
          </c:tx>
          <c:overlay val="1"/>
        </c:title>
        <c:numFmt formatCode="0%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10"/>
        <c:crosses val="autoZero"/>
        <c:crossBetween val="midCat"/>
        <c:majorUnit val="0.1"/>
        <c:minorUnit val="0.0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主な深さでの</a:t>
            </a:r>
            <a:r>
              <a:rPr lang="en"/>
              <a:t>MeV</a:t>
            </a:r>
            <a:r>
              <a:rPr lang="ja-JP" altLang="en-US"/>
              <a:t>残存率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予測!$J$5</c:f>
              <c:strCache>
                <c:ptCount val="1"/>
                <c:pt idx="0">
                  <c:v>MeV残存率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予測!$I$6:$I$11</c:f>
              <c:numCache>
                <c:formatCode>0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10</c:v>
                </c:pt>
              </c:numCache>
            </c:numRef>
          </c:cat>
          <c:val>
            <c:numRef>
              <c:f>予測!$J$6:$J$11</c:f>
              <c:numCache>
                <c:formatCode>0.0</c:formatCode>
                <c:ptCount val="6"/>
                <c:pt idx="0">
                  <c:v>100</c:v>
                </c:pt>
                <c:pt idx="1">
                  <c:v>38.491285114660791</c:v>
                </c:pt>
                <c:pt idx="2">
                  <c:v>14.815790297781071</c:v>
                </c:pt>
                <c:pt idx="3">
                  <c:v>5.7027880855091624</c:v>
                </c:pt>
                <c:pt idx="4">
                  <c:v>0.55274991335781209</c:v>
                </c:pt>
                <c:pt idx="5">
                  <c:v>7.9706429024703485E-4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A-A942-8F1E-83A6BF55C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深さ </a:t>
                </a:r>
                <a:r>
                  <a:rPr lang="en-US" altLang="ja-JP"/>
                  <a:t>(</a:t>
                </a:r>
                <a:r>
                  <a:rPr lang="en"/>
                  <a:t>m)</a:t>
                </a:r>
              </a:p>
            </c:rich>
          </c:tx>
          <c:overlay val="1"/>
        </c:title>
        <c:numFmt formatCode="0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残存率 </a:t>
                </a:r>
                <a:r>
                  <a:rPr lang="en-US" altLang="ja-JP"/>
                  <a:t>(%)</a:t>
                </a:r>
              </a:p>
            </c:rich>
          </c:tx>
          <c:overlay val="1"/>
        </c:title>
        <c:numFmt formatCode="0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10"/>
        <c:crosses val="autoZero"/>
        <c:crossBetween val="between"/>
        <c:majorUnit val="10"/>
        <c:min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19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19</xdr:row>
      <xdr:rowOff>0</xdr:rowOff>
    </xdr:from>
    <xdr:ext cx="468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showGridLines="0" workbookViewId="0">
      <selection sqref="A1:G1"/>
    </sheetView>
  </sheetViews>
  <sheetFormatPr baseColWidth="10" defaultColWidth="8.83203125" defaultRowHeight="14"/>
  <cols>
    <col min="1" max="1" width="14" customWidth="1"/>
    <col min="2" max="2" width="22" customWidth="1"/>
    <col min="3" max="3" width="12" customWidth="1"/>
    <col min="4" max="4" width="20" customWidth="1"/>
    <col min="5" max="5" width="28" customWidth="1"/>
    <col min="6" max="7" width="12" customWidth="1"/>
  </cols>
  <sheetData>
    <row r="1" spans="1:7" ht="22">
      <c r="A1" s="37" t="s">
        <v>0</v>
      </c>
      <c r="B1" s="33"/>
      <c r="C1" s="33"/>
      <c r="D1" s="33"/>
      <c r="E1" s="33"/>
      <c r="F1" s="33"/>
      <c r="G1" s="33"/>
    </row>
    <row r="2" spans="1:7">
      <c r="A2" s="38" t="s">
        <v>1</v>
      </c>
      <c r="B2" s="33"/>
      <c r="C2" s="33"/>
      <c r="D2" s="33"/>
      <c r="E2" s="33"/>
      <c r="F2" s="33"/>
      <c r="G2" s="33"/>
    </row>
    <row r="4" spans="1:7" ht="16">
      <c r="A4" s="2" t="s">
        <v>2</v>
      </c>
    </row>
    <row r="5" spans="1:7" ht="15">
      <c r="A5" s="3" t="s">
        <v>3</v>
      </c>
      <c r="B5" s="34" t="s">
        <v>4</v>
      </c>
      <c r="C5" s="35"/>
      <c r="D5" s="35"/>
      <c r="E5" s="35"/>
      <c r="F5" s="36"/>
    </row>
    <row r="6" spans="1:7" ht="15">
      <c r="A6" s="3" t="s">
        <v>5</v>
      </c>
      <c r="B6" s="34" t="s">
        <v>6</v>
      </c>
      <c r="C6" s="35"/>
      <c r="D6" s="35"/>
      <c r="E6" s="35"/>
      <c r="F6" s="36"/>
    </row>
    <row r="7" spans="1:7" ht="15">
      <c r="A7" s="3" t="s">
        <v>7</v>
      </c>
      <c r="B7" s="34" t="s">
        <v>8</v>
      </c>
      <c r="C7" s="35"/>
      <c r="D7" s="35"/>
      <c r="E7" s="35"/>
      <c r="F7" s="36"/>
    </row>
    <row r="8" spans="1:7" ht="15">
      <c r="A8" s="3" t="s">
        <v>9</v>
      </c>
      <c r="B8" s="34" t="s">
        <v>10</v>
      </c>
      <c r="C8" s="35"/>
      <c r="D8" s="35"/>
      <c r="E8" s="35"/>
      <c r="F8" s="36"/>
    </row>
    <row r="10" spans="1:7" ht="16">
      <c r="A10" s="2" t="s">
        <v>11</v>
      </c>
    </row>
    <row r="11" spans="1:7" ht="15">
      <c r="A11" s="32" t="s">
        <v>12</v>
      </c>
      <c r="B11" s="33"/>
      <c r="C11" s="33"/>
      <c r="D11" s="33"/>
      <c r="E11" s="33"/>
      <c r="F11" s="33"/>
      <c r="G11" s="33"/>
    </row>
    <row r="12" spans="1:7" ht="15">
      <c r="A12" s="32" t="s">
        <v>13</v>
      </c>
      <c r="B12" s="33"/>
      <c r="C12" s="33"/>
      <c r="D12" s="33"/>
      <c r="E12" s="33"/>
      <c r="F12" s="33"/>
      <c r="G12" s="33"/>
    </row>
    <row r="13" spans="1:7" ht="15">
      <c r="A13" s="32" t="s">
        <v>14</v>
      </c>
      <c r="B13" s="33"/>
      <c r="C13" s="33"/>
      <c r="D13" s="33"/>
      <c r="E13" s="33"/>
      <c r="F13" s="33"/>
      <c r="G13" s="33"/>
    </row>
    <row r="15" spans="1:7" ht="16">
      <c r="A15" s="2" t="s">
        <v>15</v>
      </c>
    </row>
    <row r="16" spans="1:7" ht="28" customHeight="1">
      <c r="A16" s="5" t="s">
        <v>16</v>
      </c>
      <c r="B16" s="5" t="s">
        <v>17</v>
      </c>
      <c r="C16" s="5" t="s">
        <v>18</v>
      </c>
      <c r="D16" s="5" t="s">
        <v>19</v>
      </c>
      <c r="E16" s="5" t="s">
        <v>20</v>
      </c>
    </row>
    <row r="17" spans="1:7" ht="15">
      <c r="A17" s="6">
        <v>1</v>
      </c>
      <c r="B17" s="7">
        <v>135</v>
      </c>
      <c r="C17" s="8">
        <v>0.38491285114660789</v>
      </c>
      <c r="D17" s="9">
        <v>3.9261110816954012E-4</v>
      </c>
      <c r="E17" s="4" t="s">
        <v>21</v>
      </c>
    </row>
    <row r="18" spans="1:7" ht="15">
      <c r="A18" s="10">
        <v>2</v>
      </c>
      <c r="B18" s="11">
        <v>270</v>
      </c>
      <c r="C18" s="12">
        <v>0.1481579029778107</v>
      </c>
      <c r="D18" s="13">
        <v>1.5112106103736699E-4</v>
      </c>
      <c r="E18" s="14" t="s">
        <v>21</v>
      </c>
    </row>
    <row r="19" spans="1:7" ht="15">
      <c r="A19" s="10">
        <v>3</v>
      </c>
      <c r="B19" s="11">
        <v>405.00000000000011</v>
      </c>
      <c r="C19" s="12">
        <v>5.7027880855091632E-2</v>
      </c>
      <c r="D19" s="13">
        <v>5.8168438472193459E-5</v>
      </c>
      <c r="E19" s="14" t="s">
        <v>21</v>
      </c>
    </row>
    <row r="20" spans="1:7" ht="15">
      <c r="A20" s="6">
        <v>5</v>
      </c>
      <c r="B20" s="7">
        <v>735</v>
      </c>
      <c r="C20" s="8">
        <v>5.5274991335781207E-3</v>
      </c>
      <c r="D20" s="9">
        <v>5.6380491162496832E-6</v>
      </c>
      <c r="E20" s="4" t="s">
        <v>22</v>
      </c>
    </row>
    <row r="21" spans="1:7" ht="15">
      <c r="A21" s="6">
        <v>10</v>
      </c>
      <c r="B21" s="7">
        <v>1660</v>
      </c>
      <c r="C21" s="8">
        <v>7.9706429024703485E-6</v>
      </c>
      <c r="D21" s="9">
        <v>8.1300557605197565E-9</v>
      </c>
      <c r="E21" s="4" t="s">
        <v>23</v>
      </c>
    </row>
    <row r="23" spans="1:7">
      <c r="A23" s="39" t="s">
        <v>24</v>
      </c>
      <c r="B23" s="33"/>
      <c r="C23" s="33"/>
      <c r="D23" s="33"/>
      <c r="E23" s="33"/>
      <c r="F23" s="33"/>
      <c r="G23" s="33"/>
    </row>
  </sheetData>
  <mergeCells count="10">
    <mergeCell ref="A23:G23"/>
    <mergeCell ref="A13:G13"/>
    <mergeCell ref="B7:F7"/>
    <mergeCell ref="A1:G1"/>
    <mergeCell ref="B6:F6"/>
    <mergeCell ref="A12:G12"/>
    <mergeCell ref="B5:F5"/>
    <mergeCell ref="A2:G2"/>
    <mergeCell ref="B8:F8"/>
    <mergeCell ref="A11:G11"/>
  </mergeCells>
  <phoneticPr fontId="14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showGridLines="0" workbookViewId="0"/>
  </sheetViews>
  <sheetFormatPr baseColWidth="10" defaultColWidth="8.83203125" defaultRowHeight="14"/>
  <cols>
    <col min="1" max="1" width="16" customWidth="1"/>
    <col min="2" max="2" width="28" customWidth="1"/>
    <col min="3" max="3" width="42" customWidth="1"/>
    <col min="4" max="4" width="22" customWidth="1"/>
    <col min="5" max="5" width="18" customWidth="1"/>
  </cols>
  <sheetData>
    <row r="1" spans="1:5" ht="19">
      <c r="A1" s="15" t="s">
        <v>25</v>
      </c>
    </row>
    <row r="2" spans="1:5">
      <c r="A2" s="1" t="s">
        <v>26</v>
      </c>
    </row>
    <row r="4" spans="1:5" ht="16">
      <c r="A4" s="2" t="s">
        <v>27</v>
      </c>
    </row>
    <row r="5" spans="1:5" ht="28" customHeight="1">
      <c r="A5" s="5" t="s">
        <v>28</v>
      </c>
      <c r="B5" s="5" t="s">
        <v>29</v>
      </c>
      <c r="C5" s="5" t="s">
        <v>30</v>
      </c>
      <c r="D5" s="5" t="s">
        <v>31</v>
      </c>
      <c r="E5" s="5" t="s">
        <v>32</v>
      </c>
    </row>
    <row r="6" spans="1:5" ht="48" customHeight="1">
      <c r="A6" s="6" t="s">
        <v>33</v>
      </c>
      <c r="B6" s="4" t="s">
        <v>34</v>
      </c>
      <c r="C6" s="4" t="s">
        <v>35</v>
      </c>
      <c r="D6" s="4" t="s">
        <v>36</v>
      </c>
      <c r="E6" s="4" t="s">
        <v>37</v>
      </c>
    </row>
    <row r="7" spans="1:5" ht="48" customHeight="1">
      <c r="A7" s="6" t="s">
        <v>38</v>
      </c>
      <c r="B7" s="4" t="s">
        <v>39</v>
      </c>
      <c r="C7" s="4" t="s">
        <v>40</v>
      </c>
      <c r="D7" s="4" t="s">
        <v>41</v>
      </c>
      <c r="E7" s="4" t="s">
        <v>42</v>
      </c>
    </row>
    <row r="8" spans="1:5" ht="48" customHeight="1">
      <c r="A8" s="6" t="s">
        <v>43</v>
      </c>
      <c r="B8" s="4" t="s">
        <v>44</v>
      </c>
      <c r="C8" s="4" t="s">
        <v>45</v>
      </c>
      <c r="D8" s="4" t="s">
        <v>46</v>
      </c>
      <c r="E8" s="4" t="s">
        <v>47</v>
      </c>
    </row>
    <row r="9" spans="1:5" ht="48" customHeight="1">
      <c r="A9" s="6" t="s">
        <v>48</v>
      </c>
      <c r="B9" s="4" t="s">
        <v>49</v>
      </c>
      <c r="C9" s="4" t="s">
        <v>50</v>
      </c>
      <c r="D9" s="4" t="s">
        <v>51</v>
      </c>
      <c r="E9" s="4" t="s">
        <v>52</v>
      </c>
    </row>
    <row r="11" spans="1:5" ht="16">
      <c r="A11" s="2" t="s">
        <v>53</v>
      </c>
    </row>
    <row r="12" spans="1:5" ht="28" customHeight="1">
      <c r="A12" s="16" t="s">
        <v>54</v>
      </c>
      <c r="B12" s="16" t="s">
        <v>55</v>
      </c>
      <c r="C12" s="16" t="s">
        <v>56</v>
      </c>
      <c r="D12" s="16" t="s">
        <v>57</v>
      </c>
      <c r="E12" s="16" t="s">
        <v>58</v>
      </c>
    </row>
    <row r="13" spans="1:5" ht="15">
      <c r="A13" s="6" t="s">
        <v>59</v>
      </c>
      <c r="B13" s="4" t="s">
        <v>60</v>
      </c>
      <c r="C13" s="17">
        <v>1.35</v>
      </c>
      <c r="D13" s="7">
        <v>405.00000000000011</v>
      </c>
      <c r="E13" s="7">
        <v>405</v>
      </c>
    </row>
    <row r="14" spans="1:5" ht="15">
      <c r="A14" s="6" t="s">
        <v>61</v>
      </c>
      <c r="B14" s="4" t="s">
        <v>62</v>
      </c>
      <c r="C14" s="17">
        <v>1.65</v>
      </c>
      <c r="D14" s="7">
        <v>330</v>
      </c>
      <c r="E14" s="7">
        <v>735</v>
      </c>
    </row>
    <row r="15" spans="1:5" ht="15">
      <c r="A15" s="6" t="s">
        <v>63</v>
      </c>
      <c r="B15" s="4" t="s">
        <v>64</v>
      </c>
      <c r="C15" s="17">
        <v>1.85</v>
      </c>
      <c r="D15" s="7">
        <v>925</v>
      </c>
      <c r="E15" s="7">
        <v>1660</v>
      </c>
    </row>
    <row r="16" spans="1:5" ht="15">
      <c r="A16" s="6" t="s">
        <v>65</v>
      </c>
      <c r="B16" s="4" t="s">
        <v>64</v>
      </c>
      <c r="C16" s="17">
        <v>1.85</v>
      </c>
      <c r="D16" s="7">
        <v>1850</v>
      </c>
      <c r="E16" s="7">
        <v>3510</v>
      </c>
    </row>
    <row r="18" spans="1:5" ht="15">
      <c r="A18" s="18" t="s">
        <v>66</v>
      </c>
    </row>
    <row r="19" spans="1:5">
      <c r="A19" s="40" t="s">
        <v>67</v>
      </c>
      <c r="B19" s="33"/>
      <c r="C19" s="33"/>
      <c r="D19" s="33"/>
      <c r="E19" s="33"/>
    </row>
    <row r="20" spans="1:5">
      <c r="A20" s="40" t="s">
        <v>68</v>
      </c>
      <c r="B20" s="33"/>
      <c r="C20" s="33"/>
      <c r="D20" s="33"/>
      <c r="E20" s="33"/>
    </row>
    <row r="21" spans="1:5">
      <c r="A21" s="40" t="s">
        <v>69</v>
      </c>
      <c r="B21" s="33"/>
      <c r="C21" s="33"/>
      <c r="D21" s="33"/>
      <c r="E21" s="33"/>
    </row>
    <row r="22" spans="1:5">
      <c r="A22" s="40" t="s">
        <v>70</v>
      </c>
      <c r="B22" s="33"/>
      <c r="C22" s="33"/>
      <c r="D22" s="33"/>
      <c r="E22" s="33"/>
    </row>
  </sheetData>
  <mergeCells count="4">
    <mergeCell ref="A21:E21"/>
    <mergeCell ref="A22:E22"/>
    <mergeCell ref="A20:E20"/>
    <mergeCell ref="A19:E19"/>
  </mergeCells>
  <phoneticPr fontId="14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"/>
  <sheetViews>
    <sheetView showGridLines="0" tabSelected="1" zoomScale="137" workbookViewId="0">
      <selection activeCell="H1" sqref="H1:H1048576"/>
    </sheetView>
  </sheetViews>
  <sheetFormatPr baseColWidth="10" defaultColWidth="8.83203125" defaultRowHeight="14"/>
  <cols>
    <col min="1" max="1" width="12" customWidth="1"/>
    <col min="2" max="2" width="16" customWidth="1"/>
    <col min="3" max="4" width="14" customWidth="1"/>
    <col min="5" max="7" width="16" customWidth="1"/>
    <col min="8" max="8" width="3" customWidth="1"/>
    <col min="9" max="9" width="12" customWidth="1"/>
    <col min="10" max="10" width="14" customWidth="1"/>
  </cols>
  <sheetData>
    <row r="1" spans="1:10" ht="19">
      <c r="A1" s="15" t="s">
        <v>71</v>
      </c>
    </row>
    <row r="2" spans="1:10">
      <c r="A2" s="19" t="s">
        <v>72</v>
      </c>
    </row>
    <row r="4" spans="1:10" ht="16">
      <c r="A4" s="2" t="s">
        <v>73</v>
      </c>
    </row>
    <row r="5" spans="1:10" ht="28" customHeight="1">
      <c r="A5" s="5" t="s">
        <v>74</v>
      </c>
      <c r="B5" s="5" t="s">
        <v>58</v>
      </c>
      <c r="C5" s="5" t="s">
        <v>75</v>
      </c>
      <c r="D5" s="5" t="s">
        <v>76</v>
      </c>
      <c r="E5" s="5" t="s">
        <v>77</v>
      </c>
      <c r="F5" s="5" t="s">
        <v>78</v>
      </c>
      <c r="G5" s="5" t="s">
        <v>79</v>
      </c>
      <c r="I5" s="20" t="s">
        <v>16</v>
      </c>
      <c r="J5" s="20" t="s">
        <v>80</v>
      </c>
    </row>
    <row r="6" spans="1:10" ht="15">
      <c r="A6" s="21">
        <v>0</v>
      </c>
      <c r="B6" s="21">
        <v>0</v>
      </c>
      <c r="C6" s="8">
        <v>1</v>
      </c>
      <c r="D6" s="9">
        <v>1.0200000000000001E-3</v>
      </c>
      <c r="E6" s="8">
        <v>1</v>
      </c>
      <c r="F6" s="9">
        <v>2.2300000000000002E-3</v>
      </c>
      <c r="G6" s="4" t="s">
        <v>21</v>
      </c>
      <c r="I6" s="7">
        <v>0</v>
      </c>
      <c r="J6" s="21">
        <v>100</v>
      </c>
    </row>
    <row r="7" spans="1:10" ht="15">
      <c r="A7" s="21">
        <v>0.5</v>
      </c>
      <c r="B7" s="21">
        <v>67.5</v>
      </c>
      <c r="C7" s="8">
        <v>0.62041345177760931</v>
      </c>
      <c r="D7" s="9">
        <v>6.3282172081316154E-4</v>
      </c>
      <c r="E7" s="8">
        <v>0.71711983728451445</v>
      </c>
      <c r="F7" s="9">
        <v>1.5991772371444671E-3</v>
      </c>
      <c r="G7" s="4" t="s">
        <v>21</v>
      </c>
      <c r="I7" s="7">
        <v>1</v>
      </c>
      <c r="J7" s="21">
        <v>38.491285114660791</v>
      </c>
    </row>
    <row r="8" spans="1:10" ht="15">
      <c r="A8" s="21">
        <v>1</v>
      </c>
      <c r="B8" s="21">
        <v>135</v>
      </c>
      <c r="C8" s="8">
        <v>0.38491285114660789</v>
      </c>
      <c r="D8" s="9">
        <v>3.9261110816954012E-4</v>
      </c>
      <c r="E8" s="8">
        <v>0.51426086102696844</v>
      </c>
      <c r="F8" s="9">
        <v>1.1468017200901401E-3</v>
      </c>
      <c r="G8" s="4" t="s">
        <v>21</v>
      </c>
      <c r="I8" s="7">
        <v>2</v>
      </c>
      <c r="J8" s="21">
        <v>14.815790297781071</v>
      </c>
    </row>
    <row r="9" spans="1:10" ht="15">
      <c r="A9" s="21">
        <v>1.5</v>
      </c>
      <c r="B9" s="21">
        <v>202.5</v>
      </c>
      <c r="C9" s="8">
        <v>0.2388051106134281</v>
      </c>
      <c r="D9" s="9">
        <v>2.4358121282569669E-4</v>
      </c>
      <c r="E9" s="8">
        <v>0.36878666498145379</v>
      </c>
      <c r="F9" s="9">
        <v>8.2239426290864207E-4</v>
      </c>
      <c r="G9" s="4" t="s">
        <v>21</v>
      </c>
      <c r="I9" s="7">
        <v>3</v>
      </c>
      <c r="J9" s="21">
        <v>5.7027880855091624</v>
      </c>
    </row>
    <row r="10" spans="1:10" ht="15">
      <c r="A10" s="22">
        <v>2</v>
      </c>
      <c r="B10" s="22">
        <v>270</v>
      </c>
      <c r="C10" s="12">
        <v>0.1481579029778107</v>
      </c>
      <c r="D10" s="13">
        <v>1.5112106103736699E-4</v>
      </c>
      <c r="E10" s="12">
        <v>0.26446423318419893</v>
      </c>
      <c r="F10" s="13">
        <v>5.897552400007637E-4</v>
      </c>
      <c r="G10" s="14" t="s">
        <v>21</v>
      </c>
      <c r="I10" s="7">
        <v>5</v>
      </c>
      <c r="J10" s="21">
        <v>0.55274991335781209</v>
      </c>
    </row>
    <row r="11" spans="1:10" ht="15">
      <c r="A11" s="21">
        <v>2.5</v>
      </c>
      <c r="B11" s="21">
        <v>337.5</v>
      </c>
      <c r="C11" s="8">
        <v>9.1919155994595686E-2</v>
      </c>
      <c r="D11" s="9">
        <v>9.3757539114487607E-5</v>
      </c>
      <c r="E11" s="8">
        <v>0.18965254786862659</v>
      </c>
      <c r="F11" s="9">
        <v>4.2292518174703739E-4</v>
      </c>
      <c r="G11" s="4" t="s">
        <v>21</v>
      </c>
      <c r="I11" s="7">
        <v>10</v>
      </c>
      <c r="J11" s="21">
        <v>7.9706429024703485E-4</v>
      </c>
    </row>
    <row r="12" spans="1:10" ht="15">
      <c r="A12" s="22">
        <v>3</v>
      </c>
      <c r="B12" s="22">
        <v>405.00000000000011</v>
      </c>
      <c r="C12" s="12">
        <v>5.7027880855091632E-2</v>
      </c>
      <c r="D12" s="13">
        <v>5.8168438472193459E-5</v>
      </c>
      <c r="E12" s="12">
        <v>0.13600360426814301</v>
      </c>
      <c r="F12" s="13">
        <v>3.0328803751795898E-4</v>
      </c>
      <c r="G12" s="14" t="s">
        <v>21</v>
      </c>
    </row>
    <row r="13" spans="1:10" ht="15">
      <c r="A13" s="21">
        <v>4</v>
      </c>
      <c r="B13" s="21">
        <v>570</v>
      </c>
      <c r="C13" s="8">
        <v>1.7754480054800691E-2</v>
      </c>
      <c r="D13" s="9">
        <v>1.8109569655896709E-5</v>
      </c>
      <c r="E13" s="8">
        <v>6.0332655370595317E-2</v>
      </c>
      <c r="F13" s="9">
        <v>1.3454182147642761E-4</v>
      </c>
      <c r="G13" s="4" t="s">
        <v>22</v>
      </c>
    </row>
    <row r="14" spans="1:10" ht="15">
      <c r="A14" s="23">
        <v>5</v>
      </c>
      <c r="B14" s="23">
        <v>735</v>
      </c>
      <c r="C14" s="24">
        <v>5.5274991335781207E-3</v>
      </c>
      <c r="D14" s="25">
        <v>5.6380491162496832E-6</v>
      </c>
      <c r="E14" s="24">
        <v>2.6764212049045309E-2</v>
      </c>
      <c r="F14" s="25">
        <v>5.9684192869371027E-5</v>
      </c>
      <c r="G14" s="26" t="s">
        <v>22</v>
      </c>
    </row>
    <row r="15" spans="1:10" ht="15">
      <c r="A15" s="21">
        <v>6</v>
      </c>
      <c r="B15" s="21">
        <v>920</v>
      </c>
      <c r="C15" s="8">
        <v>1.493900308803348E-3</v>
      </c>
      <c r="D15" s="9">
        <v>1.5237783149794149E-6</v>
      </c>
      <c r="E15" s="8">
        <v>1.0758924266986301E-2</v>
      </c>
      <c r="F15" s="9">
        <v>2.3992401115379461E-5</v>
      </c>
      <c r="G15" s="4" t="s">
        <v>23</v>
      </c>
    </row>
    <row r="16" spans="1:10" ht="15">
      <c r="A16" s="21">
        <v>8</v>
      </c>
      <c r="B16" s="21">
        <v>1290</v>
      </c>
      <c r="C16" s="8">
        <v>1.0912078579886449E-4</v>
      </c>
      <c r="D16" s="9">
        <v>1.1130320151484179E-7</v>
      </c>
      <c r="E16" s="8">
        <v>1.738591801413965E-3</v>
      </c>
      <c r="F16" s="9">
        <v>3.8770597171531419E-6</v>
      </c>
      <c r="G16" s="4" t="s">
        <v>23</v>
      </c>
    </row>
    <row r="17" spans="1:7" ht="15">
      <c r="A17" s="27">
        <v>10</v>
      </c>
      <c r="B17" s="27">
        <v>1660</v>
      </c>
      <c r="C17" s="28">
        <v>7.9706429024703485E-6</v>
      </c>
      <c r="D17" s="29">
        <v>8.1300557605197565E-9</v>
      </c>
      <c r="E17" s="28">
        <v>2.8094829714704801E-4</v>
      </c>
      <c r="F17" s="29">
        <v>6.2651470263791695E-7</v>
      </c>
      <c r="G17" s="30" t="s">
        <v>23</v>
      </c>
    </row>
    <row r="18" spans="1:7">
      <c r="A18" s="41" t="s">
        <v>81</v>
      </c>
      <c r="B18" s="33"/>
      <c r="C18" s="33"/>
      <c r="D18" s="33"/>
      <c r="E18" s="33"/>
      <c r="F18" s="33"/>
      <c r="G18" s="33"/>
    </row>
  </sheetData>
  <mergeCells count="1">
    <mergeCell ref="A18:G18"/>
  </mergeCells>
  <phoneticPr fontId="14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showGridLines="0" workbookViewId="0"/>
  </sheetViews>
  <sheetFormatPr baseColWidth="10" defaultColWidth="8.83203125" defaultRowHeight="14"/>
  <cols>
    <col min="1" max="1" width="10" customWidth="1"/>
    <col min="2" max="2" width="28" customWidth="1"/>
    <col min="3" max="3" width="16" customWidth="1"/>
    <col min="4" max="5" width="22" customWidth="1"/>
    <col min="6" max="6" width="18" customWidth="1"/>
  </cols>
  <sheetData>
    <row r="1" spans="1:6" ht="19">
      <c r="A1" s="15" t="s">
        <v>82</v>
      </c>
    </row>
    <row r="3" spans="1:6" ht="16">
      <c r="A3" s="2" t="s">
        <v>83</v>
      </c>
    </row>
    <row r="4" spans="1:6" ht="28" customHeight="1">
      <c r="A4" s="5" t="s">
        <v>84</v>
      </c>
      <c r="B4" s="5" t="s">
        <v>85</v>
      </c>
      <c r="C4" s="5" t="s">
        <v>86</v>
      </c>
      <c r="D4" s="5" t="s">
        <v>87</v>
      </c>
      <c r="E4" s="5" t="s">
        <v>88</v>
      </c>
      <c r="F4" s="5" t="s">
        <v>89</v>
      </c>
    </row>
    <row r="5" spans="1:6" ht="36" customHeight="1">
      <c r="A5" s="6" t="s">
        <v>90</v>
      </c>
      <c r="B5" s="4" t="s">
        <v>91</v>
      </c>
      <c r="C5" s="4" t="s">
        <v>92</v>
      </c>
      <c r="D5" s="4" t="s">
        <v>93</v>
      </c>
      <c r="E5" s="4" t="s">
        <v>94</v>
      </c>
      <c r="F5" s="4" t="s">
        <v>95</v>
      </c>
    </row>
    <row r="6" spans="1:6" ht="36" customHeight="1">
      <c r="A6" s="10" t="s">
        <v>90</v>
      </c>
      <c r="B6" s="14" t="s">
        <v>96</v>
      </c>
      <c r="C6" s="14" t="s">
        <v>97</v>
      </c>
      <c r="D6" s="14" t="s">
        <v>98</v>
      </c>
      <c r="E6" s="14" t="s">
        <v>99</v>
      </c>
      <c r="F6" s="14" t="s">
        <v>100</v>
      </c>
    </row>
    <row r="7" spans="1:6" ht="36" customHeight="1">
      <c r="A7" s="6" t="s">
        <v>101</v>
      </c>
      <c r="B7" s="4" t="s">
        <v>102</v>
      </c>
      <c r="C7" s="4" t="s">
        <v>103</v>
      </c>
      <c r="D7" s="4" t="s">
        <v>104</v>
      </c>
      <c r="E7" s="4" t="s">
        <v>105</v>
      </c>
      <c r="F7" s="4" t="s">
        <v>106</v>
      </c>
    </row>
    <row r="8" spans="1:6" ht="36" customHeight="1">
      <c r="A8" s="6" t="s">
        <v>107</v>
      </c>
      <c r="B8" s="4" t="s">
        <v>108</v>
      </c>
      <c r="C8" s="4" t="s">
        <v>109</v>
      </c>
      <c r="D8" s="4" t="s">
        <v>110</v>
      </c>
      <c r="E8" s="4" t="s">
        <v>111</v>
      </c>
      <c r="F8" s="4" t="s">
        <v>112</v>
      </c>
    </row>
    <row r="10" spans="1:6" ht="16">
      <c r="A10" s="2" t="s">
        <v>113</v>
      </c>
    </row>
    <row r="11" spans="1:6">
      <c r="A11" s="42" t="s">
        <v>114</v>
      </c>
      <c r="B11" s="33"/>
      <c r="C11" s="33"/>
      <c r="D11" s="33"/>
      <c r="E11" s="33"/>
    </row>
    <row r="12" spans="1:6">
      <c r="A12" s="42" t="s">
        <v>115</v>
      </c>
      <c r="B12" s="33"/>
      <c r="C12" s="33"/>
      <c r="D12" s="33"/>
      <c r="E12" s="33"/>
    </row>
    <row r="13" spans="1:6">
      <c r="A13" s="42" t="s">
        <v>116</v>
      </c>
      <c r="B13" s="33"/>
      <c r="C13" s="33"/>
      <c r="D13" s="33"/>
      <c r="E13" s="33"/>
    </row>
    <row r="14" spans="1:6">
      <c r="A14" s="42" t="s">
        <v>117</v>
      </c>
      <c r="B14" s="33"/>
      <c r="C14" s="33"/>
      <c r="D14" s="33"/>
      <c r="E14" s="33"/>
    </row>
    <row r="15" spans="1:6">
      <c r="A15" s="42" t="s">
        <v>118</v>
      </c>
      <c r="B15" s="33"/>
      <c r="C15" s="33"/>
      <c r="D15" s="33"/>
      <c r="E15" s="33"/>
    </row>
    <row r="16" spans="1:6">
      <c r="A16" s="42" t="s">
        <v>119</v>
      </c>
      <c r="B16" s="33"/>
      <c r="C16" s="33"/>
      <c r="D16" s="33"/>
      <c r="E16" s="33"/>
    </row>
    <row r="18" spans="1:6" ht="16">
      <c r="A18" s="2" t="s">
        <v>120</v>
      </c>
    </row>
    <row r="19" spans="1:6">
      <c r="A19" s="42" t="s">
        <v>121</v>
      </c>
      <c r="B19" s="33"/>
      <c r="C19" s="33"/>
      <c r="D19" s="33"/>
      <c r="E19" s="33"/>
      <c r="F19" s="33"/>
    </row>
    <row r="20" spans="1:6">
      <c r="A20" s="42" t="s">
        <v>122</v>
      </c>
      <c r="B20" s="33"/>
      <c r="C20" s="33"/>
      <c r="D20" s="33"/>
      <c r="E20" s="33"/>
      <c r="F20" s="33"/>
    </row>
  </sheetData>
  <mergeCells count="8">
    <mergeCell ref="A20:F20"/>
    <mergeCell ref="A12:E12"/>
    <mergeCell ref="A16:E16"/>
    <mergeCell ref="A19:F19"/>
    <mergeCell ref="A15:E15"/>
    <mergeCell ref="A11:E11"/>
    <mergeCell ref="A13:E13"/>
    <mergeCell ref="A14:E14"/>
  </mergeCells>
  <phoneticPr fontId="14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"/>
  <sheetViews>
    <sheetView showGridLines="0" workbookViewId="0"/>
  </sheetViews>
  <sheetFormatPr baseColWidth="10" defaultColWidth="8.83203125" defaultRowHeight="14"/>
  <cols>
    <col min="1" max="1" width="16" customWidth="1"/>
    <col min="2" max="2" width="90" customWidth="1"/>
  </cols>
  <sheetData>
    <row r="1" spans="1:2" ht="19">
      <c r="A1" s="15" t="s">
        <v>123</v>
      </c>
    </row>
    <row r="3" spans="1:2" ht="28" customHeight="1">
      <c r="A3" s="5" t="s">
        <v>124</v>
      </c>
      <c r="B3" s="5" t="s">
        <v>125</v>
      </c>
    </row>
    <row r="4" spans="1:2" ht="32" customHeight="1">
      <c r="A4" s="31" t="s">
        <v>126</v>
      </c>
      <c r="B4" s="4" t="s">
        <v>127</v>
      </c>
    </row>
    <row r="5" spans="1:2" ht="32" customHeight="1">
      <c r="A5" s="31" t="s">
        <v>128</v>
      </c>
      <c r="B5" s="4" t="s">
        <v>129</v>
      </c>
    </row>
    <row r="6" spans="1:2" ht="32" customHeight="1">
      <c r="A6" s="31" t="s">
        <v>130</v>
      </c>
      <c r="B6" s="4" t="s">
        <v>131</v>
      </c>
    </row>
    <row r="7" spans="1:2" ht="32" customHeight="1">
      <c r="A7" s="31" t="s">
        <v>62</v>
      </c>
      <c r="B7" s="4" t="s">
        <v>132</v>
      </c>
    </row>
    <row r="8" spans="1:2" ht="32" customHeight="1">
      <c r="A8" s="31" t="s">
        <v>133</v>
      </c>
      <c r="B8" s="4" t="s">
        <v>134</v>
      </c>
    </row>
    <row r="9" spans="1:2" ht="32" customHeight="1">
      <c r="A9" s="31" t="s">
        <v>135</v>
      </c>
      <c r="B9" s="4" t="s">
        <v>136</v>
      </c>
    </row>
    <row r="10" spans="1:2" ht="32" customHeight="1">
      <c r="A10" s="31" t="s">
        <v>137</v>
      </c>
      <c r="B10" s="4" t="s">
        <v>138</v>
      </c>
    </row>
    <row r="11" spans="1:2" ht="32" customHeight="1">
      <c r="A11" s="31" t="s">
        <v>139</v>
      </c>
      <c r="B11" s="4" t="s">
        <v>140</v>
      </c>
    </row>
  </sheetData>
  <phoneticPr fontId="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概要</vt:lpstr>
      <vt:lpstr>地質_KEK</vt:lpstr>
      <vt:lpstr>予測</vt:lpstr>
      <vt:lpstr>測定計画</vt:lpstr>
      <vt:lpstr>文献_根拠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KAWASHIMA Yuto</cp:lastModifiedBy>
  <dcterms:created xsi:type="dcterms:W3CDTF">2026-08-17T14:29:12Z</dcterms:created>
  <dcterms:modified xsi:type="dcterms:W3CDTF">2026-08-17T15:14:48Z</dcterms:modified>
</cp:coreProperties>
</file>