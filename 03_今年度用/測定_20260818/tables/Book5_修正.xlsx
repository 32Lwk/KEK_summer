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グラ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000"/>
    <numFmt numFmtId="165" formatCode="0.000000"/>
    <numFmt numFmtId="166" formatCode="0.0"/>
    <numFmt numFmtId="167" formatCode="0.0000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color rgb="00666666"/>
      <sz val="10"/>
    </font>
    <font>
      <b val="1"/>
      <sz val="12"/>
    </font>
    <font>
      <b val="1"/>
      <color rgb="00FFFFFF"/>
      <sz val="11"/>
    </font>
    <font>
      <b val="1"/>
      <sz val="11"/>
    </font>
    <font>
      <sz val="11"/>
    </font>
    <font>
      <name val="Menlo"/>
      <sz val="1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5F5F5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8F5E9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BFBFBF"/>
      </right>
      <top/>
      <bottom style="thin">
        <color rgb="00BFBFBF"/>
      </bottom>
      <diagonal/>
    </border>
    <border>
      <left/>
      <right style="thin">
        <color rgb="00BFBFBF"/>
      </right>
      <top/>
      <bottom/>
      <diagonal/>
    </border>
    <border>
      <left/>
      <right/>
      <top/>
      <bottom style="thin">
        <color rgb="00BFBFBF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2" fontId="6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2" fontId="6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1" fontId="6" fillId="4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 wrapText="1"/>
    </xf>
    <xf numFmtId="166" fontId="6" fillId="4" borderId="1" applyAlignment="1" pivotButton="0" quotePrefix="0" xfId="0">
      <alignment horizontal="center" vertical="center" wrapText="1"/>
    </xf>
    <xf numFmtId="166" fontId="6" fillId="5" borderId="1" applyAlignment="1" pivotButton="0" quotePrefix="0" xfId="0">
      <alignment horizontal="center" vertical="center" wrapText="1"/>
    </xf>
    <xf numFmtId="167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7" fillId="0" borderId="0" pivotButton="0" quotePrefix="0" xfId="0"/>
    <xf numFmtId="0" fontId="5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2" fillId="0" borderId="2" pivotButton="0" quotePrefix="0" xfId="0"/>
    <xf numFmtId="0" fontId="0" fillId="0" borderId="4" pivotButton="0" quotePrefix="0" xfId="0"/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worksheet" Target="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相対 CPS と等価コンクリート厚さ</a:t>
            </a:r>
          </a:p>
        </rich>
      </tx>
    </title>
    <plotArea>
      <scatterChart>
        <ser>
          <idx val="0"/>
          <order val="0"/>
          <tx>
            <v>空気 λ=1475 m</v>
          </tx>
          <spPr>
            <a:ln w="20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'グラフ'!$A$6:$A$16</f>
            </numRef>
          </xVal>
          <yVal>
            <numRef>
              <f>'グラフ'!$B$6:$B$16</f>
            </numRef>
          </yVal>
        </ser>
        <ser>
          <idx val="1"/>
          <order val="1"/>
          <tx>
            <v>A0·e^(-x/0.77)（A0=1, x[m]）</v>
          </tx>
          <spPr>
            <a:ln w="25000">
              <a:solidFill>
                <a:srgbClr val="6666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'グラフ'!$D$6:$D$56</f>
            </numRef>
          </xVal>
          <yVal>
            <numRef>
              <f>'グラフ'!$E$6:$E$56</f>
            </numRef>
          </yVal>
        </ser>
        <ser>
          <idx val="2"/>
          <order val="2"/>
          <tx>
            <v>測定（ユーザーCPS・地上=1）</v>
          </tx>
          <spPr>
            <a:ln>
              <a:noFill/>
              <a:prstDash val="solid"/>
            </a:ln>
          </spPr>
          <marker>
            <symbol val="circle"/>
            <size val="10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dLbls>
            <showVal val="0"/>
          </dLbls>
          <xVal>
            <numRef>
              <f>'グラフ'!$K$6:$K$10</f>
            </numRef>
          </xVal>
          <yVal>
            <numRef>
              <f>'グラフ'!$L$6:$L$10</f>
            </numRef>
          </yVal>
        </ser>
        <axId val="10"/>
        <axId val="20"/>
      </scatterChart>
      <valAx>
        <axId val="10"/>
        <scaling>
          <orientation val="minMax"/>
          <max val="530"/>
          <min val="-20"/>
        </scaling>
        <delete val="0"/>
        <axPos val="l"/>
        <majorGridlines>
          <spPr>
            <a:ln w="9525">
              <a:solidFill>
                <a:srgbClr val="D9D9D9"/>
              </a:solidFill>
              <a:prstDash val="dash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等価コンクリート厚さ [cm]（t_eq=X/ρ_c）</a:t>
                </a:r>
              </a:p>
            </rich>
          </tx>
        </title>
        <numFmt formatCode="0" sourceLinked="0"/>
        <majorTickMark val="out"/>
        <minorTickMark val="out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50"/>
        <minorUnit val="10"/>
      </valAx>
      <valAx>
        <axId val="20"/>
        <scaling>
          <orientation val="minMax"/>
          <max val="1.12"/>
          <min val="0"/>
        </scaling>
        <delete val="0"/>
        <axPos val="l"/>
        <majorGridlines>
          <spPr>
            <a:ln w="9525">
              <a:solidFill>
                <a:srgbClr val="D9D9D9"/>
              </a:solidFill>
              <a:prstDash val="dash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相対 CPS（地上 = 1）</a:t>
                </a:r>
              </a:p>
            </rich>
          </tx>
        </title>
        <numFmt formatCode="0.0" sourceLinked="0"/>
        <majorTickMark val="out"/>
        <minorTickMark val="out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  <majorUnit val="0.1"/>
        <minorUnit val="0.02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..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..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selection activeCell="A1" sqref="A1"/>
    </sheetView>
  </sheetViews>
  <sheetFormatPr baseColWidth="8" defaultRowHeight="15" outlineLevelCol="0"/>
  <cols>
    <col width="10" customWidth="1" min="1" max="1"/>
    <col width="10" customWidth="1" min="2" max="2"/>
    <col width="12" customWidth="1" min="3" max="3"/>
    <col width="12" customWidth="1" min="4" max="4"/>
    <col width="14" customWidth="1" min="5" max="5"/>
    <col width="3" customWidth="1" min="6" max="6"/>
    <col width="10" customWidth="1" min="7" max="7"/>
    <col width="10" customWidth="1" min="8" max="8"/>
    <col width="12" customWidth="1" min="9" max="9"/>
    <col width="12" customWidth="1" min="10" max="10"/>
    <col width="10" customWidth="1" min="11" max="11"/>
    <col width="10" customWidth="1" min="12" max="12"/>
    <col width="10" customWidth="1" min="13" max="13"/>
    <col width="36" customWidth="1" min="14" max="14"/>
  </cols>
  <sheetData>
    <row r="1">
      <c r="A1" s="1" t="inlineStr">
        <is>
          <t>図11 等価コンクリート減衰 — Book5（数式埋め込み）</t>
        </is>
      </c>
    </row>
    <row r="2">
      <c r="A2" s="2" t="inlineStr">
        <is>
          <t>黄色=入力 / 水色=数式。グラフは「グラフ」シート。関東ローム≤4m、以深は常総粘土。</t>
        </is>
      </c>
    </row>
    <row r="4">
      <c r="A4" s="3" t="inlineStr">
        <is>
          <t>パラメータ</t>
        </is>
      </c>
    </row>
    <row r="5">
      <c r="A5" s="4" t="inlineStr">
        <is>
          <t>記号</t>
        </is>
      </c>
      <c r="B5" s="4" t="inlineStr">
        <is>
          <t>値</t>
        </is>
      </c>
      <c r="C5" s="4" t="inlineStr">
        <is>
          <t>単位</t>
        </is>
      </c>
      <c r="D5" s="4" t="inlineStr">
        <is>
          <t>説明</t>
        </is>
      </c>
    </row>
    <row r="6">
      <c r="A6" s="5" t="inlineStr">
        <is>
          <t>rho_c</t>
        </is>
      </c>
      <c r="B6" s="6" t="n">
        <v>2.3</v>
      </c>
      <c r="C6" s="7" t="inlineStr">
        <is>
          <t>g/cm3</t>
        </is>
      </c>
      <c r="D6" s="8" t="inlineStr">
        <is>
          <t>コンクリート密度</t>
        </is>
      </c>
    </row>
    <row r="7">
      <c r="A7" s="5" t="inlineStr">
        <is>
          <t>rho_loam</t>
        </is>
      </c>
      <c r="B7" s="6" t="n">
        <v>1.35</v>
      </c>
      <c r="C7" s="7" t="inlineStr">
        <is>
          <t>g/cm3</t>
        </is>
      </c>
      <c r="D7" s="8" t="inlineStr">
        <is>
          <t>関東ローム</t>
        </is>
      </c>
    </row>
    <row r="8">
      <c r="A8" s="5" t="inlineStr">
        <is>
          <t>rho_joso</t>
        </is>
      </c>
      <c r="B8" s="6" t="n">
        <v>1.65</v>
      </c>
      <c r="C8" s="7" t="inlineStr">
        <is>
          <t>g/cm3</t>
        </is>
      </c>
      <c r="D8" s="8" t="inlineStr">
        <is>
          <t>常総粘土</t>
        </is>
      </c>
    </row>
    <row r="9">
      <c r="A9" s="5" t="inlineStr">
        <is>
          <t>loam_max</t>
        </is>
      </c>
      <c r="B9" s="9" t="n">
        <v>400</v>
      </c>
      <c r="C9" s="7" t="inlineStr">
        <is>
          <t>cm</t>
        </is>
      </c>
      <c r="D9" s="8" t="inlineStr">
        <is>
          <t>ローム上限（4 m）</t>
        </is>
      </c>
    </row>
    <row r="10">
      <c r="A10" s="5" t="inlineStr">
        <is>
          <t>lambda_m</t>
        </is>
      </c>
      <c r="B10" s="6" t="n">
        <v>0.77</v>
      </c>
      <c r="C10" s="7" t="inlineStr">
        <is>
          <t>m</t>
        </is>
      </c>
      <c r="D10" s="8" t="inlineStr">
        <is>
          <t>理論 A=A0*EXP(-x/lambda_m), x[m]</t>
        </is>
      </c>
    </row>
    <row r="11">
      <c r="A11" s="5" t="inlineStr">
        <is>
          <t>lambda_cm</t>
        </is>
      </c>
      <c r="B11" s="10">
        <f>B10*100</f>
        <v/>
      </c>
      <c r="C11" s="7" t="inlineStr">
        <is>
          <t>cm</t>
        </is>
      </c>
      <c r="D11" s="8" t="inlineStr">
        <is>
          <t>lambda_m*100（=77）</t>
        </is>
      </c>
    </row>
    <row r="12">
      <c r="A12" s="5" t="inlineStr">
        <is>
          <t>A0</t>
        </is>
      </c>
      <c r="B12" s="9" t="n">
        <v>1</v>
      </c>
      <c r="C12" s="7" t="inlineStr">
        <is>
          <t>-</t>
        </is>
      </c>
      <c r="D12" s="8" t="inlineStr">
        <is>
          <t>規格化定数</t>
        </is>
      </c>
    </row>
    <row r="13">
      <c r="A13" s="5" t="inlineStr">
        <is>
          <t>lambda_air_m</t>
        </is>
      </c>
      <c r="B13" s="9" t="n">
        <v>1475</v>
      </c>
      <c r="C13" s="7" t="inlineStr">
        <is>
          <t>m</t>
        </is>
      </c>
      <c r="D13" s="8" t="inlineStr">
        <is>
          <t>空気減衰長</t>
        </is>
      </c>
    </row>
    <row r="14">
      <c r="A14" s="5" t="inlineStr">
        <is>
          <t>lambda_air_cm</t>
        </is>
      </c>
      <c r="B14" s="10">
        <f>B13*100</f>
        <v/>
      </c>
      <c r="C14" s="7" t="inlineStr">
        <is>
          <t>cm</t>
        </is>
      </c>
      <c r="D14" s="8" t="inlineStr">
        <is>
          <t>空気減衰長[cm]</t>
        </is>
      </c>
    </row>
    <row r="16">
      <c r="A16" s="3" t="inlineStr">
        <is>
          <t>測定CPS（Book5）</t>
        </is>
      </c>
      <c r="G16" s="3" t="inlineStr">
        <is>
          <t>遮蔽・等価コンクリート（数式）</t>
        </is>
      </c>
    </row>
    <row r="17">
      <c r="A17" s="4" t="inlineStr">
        <is>
          <t>地点</t>
        </is>
      </c>
      <c r="B17" s="4" t="inlineStr">
        <is>
          <t>分子</t>
        </is>
      </c>
      <c r="C17" s="4" t="inlineStr">
        <is>
          <t>分母</t>
        </is>
      </c>
      <c r="D17" s="4" t="inlineStr">
        <is>
          <t>CPS</t>
        </is>
      </c>
      <c r="E17" s="4" t="inlineStr">
        <is>
          <t>相対(地上=1)</t>
        </is>
      </c>
      <c r="G17" s="4" t="inlineStr">
        <is>
          <t>地点</t>
        </is>
      </c>
      <c r="H17" s="4" t="inlineStr">
        <is>
          <t>土[cm]</t>
        </is>
      </c>
      <c r="I17" s="4" t="inlineStr">
        <is>
          <t>コンクリ[cm]</t>
        </is>
      </c>
      <c r="J17" s="4" t="inlineStr">
        <is>
          <t>X[g/cm2]</t>
        </is>
      </c>
      <c r="K17" s="4" t="inlineStr">
        <is>
          <t>t_eq[cm]</t>
        </is>
      </c>
      <c r="L17" s="4" t="inlineStr">
        <is>
          <t>x[m]</t>
        </is>
      </c>
      <c r="M17" s="4" t="inlineStr">
        <is>
          <t>理論A</t>
        </is>
      </c>
      <c r="N17" s="4" t="inlineStr">
        <is>
          <t>ラベル</t>
        </is>
      </c>
    </row>
    <row r="18" ht="32" customHeight="1">
      <c r="A18" s="11" t="inlineStr">
        <is>
          <t>地上</t>
        </is>
      </c>
      <c r="B18" s="12" t="n">
        <v>2495</v>
      </c>
      <c r="C18" s="6" t="n">
        <v>4751.06</v>
      </c>
      <c r="D18" s="13">
        <f>B18/C18</f>
        <v/>
      </c>
      <c r="E18" s="14">
        <f>D18/$D$18</f>
        <v/>
      </c>
      <c r="G18" s="15">
        <f>A18</f>
        <v/>
      </c>
      <c r="H18" s="16" t="n">
        <v>0</v>
      </c>
      <c r="I18" s="16" t="n">
        <v>0</v>
      </c>
      <c r="J18" s="10">
        <f>I18*$B$6+MIN(H18,$B$9)*$B$7+MAX(0,H18-$B$9)*$B$8</f>
        <v/>
      </c>
      <c r="K18" s="17">
        <f>J18/$B$6</f>
        <v/>
      </c>
      <c r="L18" s="18">
        <f>K18/100</f>
        <v/>
      </c>
      <c r="M18" s="14">
        <f>$B$12*EXP(-L18/$B$10)</f>
        <v/>
      </c>
      <c r="N18" s="19">
        <f>G18&amp;"  相対"&amp;TEXT(E18,"0.000")&amp;CHAR(10)&amp;"（実測CPS "&amp;TEXT(D18,"0.0000")&amp;"）"</f>
        <v/>
      </c>
    </row>
    <row r="19" ht="32" customHeight="1">
      <c r="A19" s="8" t="inlineStr">
        <is>
          <t>PF</t>
        </is>
      </c>
      <c r="B19" s="12" t="n">
        <v>11485</v>
      </c>
      <c r="C19" s="6" t="n">
        <v>45741.27</v>
      </c>
      <c r="D19" s="13">
        <f>B19/C19</f>
        <v/>
      </c>
      <c r="E19" s="14">
        <f>D19/$D$18</f>
        <v/>
      </c>
      <c r="G19" s="8">
        <f>A19</f>
        <v/>
      </c>
      <c r="H19" s="16" t="n">
        <v>0</v>
      </c>
      <c r="I19" s="16" t="n">
        <v>105</v>
      </c>
      <c r="J19" s="10">
        <f>I19*$B$6+MIN(H19,$B$9)*$B$7+MAX(0,H19-$B$9)*$B$8</f>
        <v/>
      </c>
      <c r="K19" s="17">
        <f>J19/$B$6</f>
        <v/>
      </c>
      <c r="L19" s="18">
        <f>K19/100</f>
        <v/>
      </c>
      <c r="M19" s="14">
        <f>$B$12*EXP(-L19/$B$10)</f>
        <v/>
      </c>
      <c r="N19" s="19">
        <f>G19&amp;"  相対"&amp;TEXT(E19,"0.000")&amp;CHAR(10)&amp;"（実測CPS "&amp;TEXT(D19,"0.0000")&amp;"）"</f>
        <v/>
      </c>
    </row>
    <row r="20" ht="32" customHeight="1">
      <c r="A20" s="8" t="inlineStr">
        <is>
          <t>linac</t>
        </is>
      </c>
      <c r="B20" s="12" t="n">
        <v>273</v>
      </c>
      <c r="C20" s="6" t="n">
        <v>4213.67</v>
      </c>
      <c r="D20" s="13">
        <f>B20/C20</f>
        <v/>
      </c>
      <c r="E20" s="14">
        <f>D20/$D$18</f>
        <v/>
      </c>
      <c r="G20" s="8">
        <f>A20</f>
        <v/>
      </c>
      <c r="H20" s="16" t="n">
        <v>0</v>
      </c>
      <c r="I20" s="16" t="n">
        <v>150</v>
      </c>
      <c r="J20" s="10">
        <f>I20*$B$6+MIN(H20,$B$9)*$B$7+MAX(0,H20-$B$9)*$B$8</f>
        <v/>
      </c>
      <c r="K20" s="17">
        <f>J20/$B$6</f>
        <v/>
      </c>
      <c r="L20" s="18">
        <f>K20/100</f>
        <v/>
      </c>
      <c r="M20" s="14">
        <f>$B$12*EXP(-L20/$B$10)</f>
        <v/>
      </c>
      <c r="N20" s="19">
        <f>G20&amp;"  相対"&amp;TEXT(E20,"0.000")&amp;CHAR(10)&amp;"（実測CPS "&amp;TEXT(D20,"0.0000")&amp;"）"</f>
        <v/>
      </c>
    </row>
    <row r="21" ht="32" customHeight="1">
      <c r="A21" s="8" t="inlineStr">
        <is>
          <t>BT</t>
        </is>
      </c>
      <c r="B21" s="12" t="n">
        <v>1101</v>
      </c>
      <c r="C21" s="6" t="n">
        <v>9594.209999999999</v>
      </c>
      <c r="D21" s="13">
        <f>B21/C21</f>
        <v/>
      </c>
      <c r="E21" s="14">
        <f>D21/$D$18</f>
        <v/>
      </c>
      <c r="G21" s="8">
        <f>A21</f>
        <v/>
      </c>
      <c r="H21" s="16" t="n">
        <v>220</v>
      </c>
      <c r="I21" s="16" t="n">
        <v>60</v>
      </c>
      <c r="J21" s="10">
        <f>I21*$B$6+MIN(H21,$B$9)*$B$7+MAX(0,H21-$B$9)*$B$8</f>
        <v/>
      </c>
      <c r="K21" s="17">
        <f>J21/$B$6</f>
        <v/>
      </c>
      <c r="L21" s="18">
        <f>K21/100</f>
        <v/>
      </c>
      <c r="M21" s="14">
        <f>$B$12*EXP(-L21/$B$10)</f>
        <v/>
      </c>
      <c r="N21" s="19">
        <f>G21&amp;"  相対"&amp;TEXT(E21,"0.000")&amp;CHAR(10)&amp;"（実測CPS "&amp;TEXT(D21,"0.0000")&amp;"）"</f>
        <v/>
      </c>
    </row>
    <row r="22" ht="32" customHeight="1">
      <c r="A22" s="8" t="inlineStr">
        <is>
          <t>KEKB</t>
        </is>
      </c>
      <c r="B22" s="12" t="n">
        <v>1559</v>
      </c>
      <c r="C22" s="6" t="n">
        <v>39040.98</v>
      </c>
      <c r="D22" s="13">
        <f>B22/C22</f>
        <v/>
      </c>
      <c r="E22" s="14">
        <f>D22/$D$18</f>
        <v/>
      </c>
      <c r="G22" s="8">
        <f>A22</f>
        <v/>
      </c>
      <c r="H22" s="16" t="n">
        <v>670</v>
      </c>
      <c r="I22" s="16" t="n">
        <v>80</v>
      </c>
      <c r="J22" s="10">
        <f>I22*$B$6+MIN(H22,$B$9)*$B$7+MAX(0,H22-$B$9)*$B$8</f>
        <v/>
      </c>
      <c r="K22" s="17">
        <f>J22/$B$6</f>
        <v/>
      </c>
      <c r="L22" s="18">
        <f>K22/100</f>
        <v/>
      </c>
      <c r="M22" s="14">
        <f>$B$12*EXP(-L22/$B$10)</f>
        <v/>
      </c>
      <c r="N22" s="19">
        <f>G22&amp;"  相対"&amp;TEXT(E22,"0.000")&amp;CHAR(10)&amp;"（実測CPS "&amp;TEXT(D22,"0.0000")&amp;"）"</f>
        <v/>
      </c>
    </row>
    <row r="24">
      <c r="A24" s="3" t="inlineStr">
        <is>
          <t>数式メモ</t>
        </is>
      </c>
    </row>
    <row r="25">
      <c r="A25" s="20" t="inlineStr">
        <is>
          <t>CPS: =分子/分母</t>
        </is>
      </c>
    </row>
    <row r="26">
      <c r="A26" s="20" t="inlineStr">
        <is>
          <t>相対: =CPS/地上CPS</t>
        </is>
      </c>
    </row>
    <row r="27">
      <c r="A27" s="20" t="inlineStr">
        <is>
          <t>X: =コンクリ*rho_c + MIN(土,loam_max)*rho_loam + MAX(0,土-loam_max)*rho_joso</t>
        </is>
      </c>
    </row>
    <row r="28">
      <c r="A28" s="20" t="inlineStr">
        <is>
          <t>t_eq[cm]: =X/rho_c</t>
        </is>
      </c>
    </row>
    <row r="29">
      <c r="A29" s="20" t="inlineStr">
        <is>
          <t>理論: =A0*EXP(-(t_eq/100)/lambda_m)  ⇔  A0*EXP(-t_eq/lambda_cm)</t>
        </is>
      </c>
    </row>
    <row r="30">
      <c r="A30" s="20" t="inlineStr">
        <is>
          <t>空気: =EXP(x_cm/lambda_air_cm)  （x≤0）</t>
        </is>
      </c>
    </row>
  </sheetData>
  <mergeCells count="8">
    <mergeCell ref="A28:F28"/>
    <mergeCell ref="A2:N2"/>
    <mergeCell ref="A27:F27"/>
    <mergeCell ref="A26:F26"/>
    <mergeCell ref="A30:F30"/>
    <mergeCell ref="A29:F29"/>
    <mergeCell ref="A25:F25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6"/>
  <sheetViews>
    <sheetView showGridLines="0" workbookViewId="0">
      <selection activeCell="A1" sqref="A1"/>
    </sheetView>
  </sheetViews>
  <sheetFormatPr baseColWidth="8" defaultRowHeight="15" outlineLevelCol="0"/>
  <cols>
    <col width="10" customWidth="1" min="1" max="1"/>
    <col width="12" customWidth="1" min="2" max="2"/>
    <col width="3" customWidth="1" min="3" max="3"/>
    <col width="10" customWidth="1" min="4" max="4"/>
    <col width="12" customWidth="1" min="5" max="5"/>
    <col width="3" customWidth="1" min="6" max="6"/>
    <col width="8" customWidth="1" min="7" max="7"/>
    <col width="10" customWidth="1" min="8" max="8"/>
    <col width="14" customWidth="1" min="9" max="9"/>
    <col width="10" customWidth="1" min="10" max="10"/>
    <col width="10" customWidth="1" min="11" max="11"/>
    <col width="10" customWidth="1" min="12" max="12"/>
    <col width="40" customWidth="1" min="13" max="13"/>
  </cols>
  <sheetData>
    <row r="1">
      <c r="A1" s="1" t="inlineStr">
        <is>
          <t>図11と同じ構成（空気 / 理論曲線 / 測定点）</t>
        </is>
      </c>
    </row>
    <row r="2">
      <c r="A2" s="2" t="inlineStr">
        <is>
          <t>水色=数式。理論 A0*EXP(-t_eq/lambda_cm)。測定点は「データ」シート参照。</t>
        </is>
      </c>
    </row>
    <row r="4">
      <c r="A4" s="3" t="inlineStr">
        <is>
          <t>空気線（x≤0）</t>
        </is>
      </c>
      <c r="D4" s="3" t="inlineStr">
        <is>
          <t>理論曲線 A0·e^(-x/0.77)</t>
        </is>
      </c>
      <c r="G4" t="inlineStr">
        <is>
          <t>x_max</t>
        </is>
      </c>
      <c r="H4" s="17">
        <f>MAX(データ!K18:K22)*1.04</f>
        <v/>
      </c>
      <c r="I4" s="2" t="inlineStr">
        <is>
          <t>← 測定点の最大 t_eq×1.04</t>
        </is>
      </c>
      <c r="J4" s="3" t="inlineStr">
        <is>
          <t>測定点（データ参照）</t>
        </is>
      </c>
    </row>
    <row r="5">
      <c r="A5" s="4" t="inlineStr">
        <is>
          <t>x[cm]</t>
        </is>
      </c>
      <c r="B5" s="4" t="inlineStr">
        <is>
          <t>相対(数式)</t>
        </is>
      </c>
      <c r="D5" s="4" t="inlineStr">
        <is>
          <t>t_eq[cm]</t>
        </is>
      </c>
      <c r="E5" s="4" t="inlineStr">
        <is>
          <t>理論(数式)</t>
        </is>
      </c>
      <c r="J5" s="4" t="inlineStr">
        <is>
          <t>地点</t>
        </is>
      </c>
      <c r="K5" s="4" t="inlineStr">
        <is>
          <t>t_eq[cm]</t>
        </is>
      </c>
      <c r="L5" s="4" t="inlineStr">
        <is>
          <t>相対</t>
        </is>
      </c>
      <c r="M5" s="4" t="inlineStr">
        <is>
          <t>ラベル</t>
        </is>
      </c>
    </row>
    <row r="6" ht="36" customHeight="1">
      <c r="A6" s="16" t="n">
        <v>-20</v>
      </c>
      <c r="B6" s="14">
        <f>EXP(A6/データ!$B$14)</f>
        <v/>
      </c>
      <c r="D6" s="16">
        <f>$H$4*0/50</f>
        <v/>
      </c>
      <c r="E6" s="14">
        <f>データ!$B$12*EXP(-D6/データ!$B$11)</f>
        <v/>
      </c>
      <c r="J6" s="15">
        <f>データ!A18</f>
        <v/>
      </c>
      <c r="K6" s="17">
        <f>データ!K18</f>
        <v/>
      </c>
      <c r="L6" s="18">
        <f>データ!E18</f>
        <v/>
      </c>
      <c r="M6" s="19">
        <f>データ!N18</f>
        <v/>
      </c>
    </row>
    <row r="7" ht="36" customHeight="1">
      <c r="A7" s="16" t="n">
        <v>-18</v>
      </c>
      <c r="B7" s="14">
        <f>EXP(A7/データ!$B$14)</f>
        <v/>
      </c>
      <c r="D7" s="16">
        <f>$H$4*1/50</f>
        <v/>
      </c>
      <c r="E7" s="14">
        <f>データ!$B$12*EXP(-D7/データ!$B$11)</f>
        <v/>
      </c>
      <c r="J7" s="8">
        <f>データ!A19</f>
        <v/>
      </c>
      <c r="K7" s="17">
        <f>データ!K19</f>
        <v/>
      </c>
      <c r="L7" s="18">
        <f>データ!E19</f>
        <v/>
      </c>
      <c r="M7" s="19">
        <f>データ!N19</f>
        <v/>
      </c>
    </row>
    <row r="8" ht="36" customHeight="1">
      <c r="A8" s="16" t="n">
        <v>-16</v>
      </c>
      <c r="B8" s="14">
        <f>EXP(A8/データ!$B$14)</f>
        <v/>
      </c>
      <c r="D8" s="16">
        <f>$H$4*2/50</f>
        <v/>
      </c>
      <c r="E8" s="14">
        <f>データ!$B$12*EXP(-D8/データ!$B$11)</f>
        <v/>
      </c>
      <c r="J8" s="8">
        <f>データ!A20</f>
        <v/>
      </c>
      <c r="K8" s="17">
        <f>データ!K20</f>
        <v/>
      </c>
      <c r="L8" s="18">
        <f>データ!E20</f>
        <v/>
      </c>
      <c r="M8" s="19">
        <f>データ!N20</f>
        <v/>
      </c>
    </row>
    <row r="9" ht="36" customHeight="1">
      <c r="A9" s="16" t="n">
        <v>-14</v>
      </c>
      <c r="B9" s="14">
        <f>EXP(A9/データ!$B$14)</f>
        <v/>
      </c>
      <c r="D9" s="16">
        <f>$H$4*3/50</f>
        <v/>
      </c>
      <c r="E9" s="14">
        <f>データ!$B$12*EXP(-D9/データ!$B$11)</f>
        <v/>
      </c>
      <c r="J9" s="8">
        <f>データ!A21</f>
        <v/>
      </c>
      <c r="K9" s="17">
        <f>データ!K21</f>
        <v/>
      </c>
      <c r="L9" s="18">
        <f>データ!E21</f>
        <v/>
      </c>
      <c r="M9" s="19">
        <f>データ!N21</f>
        <v/>
      </c>
    </row>
    <row r="10" ht="36" customHeight="1">
      <c r="A10" s="16" t="n">
        <v>-12</v>
      </c>
      <c r="B10" s="14">
        <f>EXP(A10/データ!$B$14)</f>
        <v/>
      </c>
      <c r="D10" s="16">
        <f>$H$4*4/50</f>
        <v/>
      </c>
      <c r="E10" s="14">
        <f>データ!$B$12*EXP(-D10/データ!$B$11)</f>
        <v/>
      </c>
      <c r="J10" s="8">
        <f>データ!A22</f>
        <v/>
      </c>
      <c r="K10" s="17">
        <f>データ!K22</f>
        <v/>
      </c>
      <c r="L10" s="18">
        <f>データ!E22</f>
        <v/>
      </c>
      <c r="M10" s="19">
        <f>データ!N22</f>
        <v/>
      </c>
    </row>
    <row r="11">
      <c r="A11" s="16" t="n">
        <v>-10</v>
      </c>
      <c r="B11" s="14">
        <f>EXP(A11/データ!$B$14)</f>
        <v/>
      </c>
      <c r="D11" s="16">
        <f>$H$4*5/50</f>
        <v/>
      </c>
      <c r="E11" s="14">
        <f>データ!$B$12*EXP(-D11/データ!$B$11)</f>
        <v/>
      </c>
    </row>
    <row r="12">
      <c r="A12" s="16" t="n">
        <v>-8</v>
      </c>
      <c r="B12" s="14">
        <f>EXP(A12/データ!$B$14)</f>
        <v/>
      </c>
      <c r="D12" s="16">
        <f>$H$4*6/50</f>
        <v/>
      </c>
      <c r="E12" s="14">
        <f>データ!$B$12*EXP(-D12/データ!$B$11)</f>
        <v/>
      </c>
      <c r="J12" s="21" t="inlineStr">
        <is>
          <t>注釈テキスト（図と同じ文言・数式生成）</t>
        </is>
      </c>
    </row>
    <row r="13" ht="36" customHeight="1">
      <c r="A13" s="16" t="n">
        <v>-6</v>
      </c>
      <c r="B13" s="14">
        <f>EXP(A13/データ!$B$14)</f>
        <v/>
      </c>
      <c r="D13" s="16">
        <f>$H$4*7/50</f>
        <v/>
      </c>
      <c r="E13" s="14">
        <f>データ!$B$12*EXP(-D13/データ!$B$11)</f>
        <v/>
      </c>
      <c r="J13" s="8">
        <f>J6</f>
        <v/>
      </c>
      <c r="K13" s="8">
        <f>M6</f>
        <v/>
      </c>
      <c r="L13" s="22" t="n"/>
      <c r="M13" s="23" t="n"/>
    </row>
    <row r="14" ht="36" customHeight="1">
      <c r="A14" s="16" t="n">
        <v>-4</v>
      </c>
      <c r="B14" s="14">
        <f>EXP(A14/データ!$B$14)</f>
        <v/>
      </c>
      <c r="D14" s="16">
        <f>$H$4*8/50</f>
        <v/>
      </c>
      <c r="E14" s="14">
        <f>データ!$B$12*EXP(-D14/データ!$B$11)</f>
        <v/>
      </c>
      <c r="J14" s="8">
        <f>J7</f>
        <v/>
      </c>
      <c r="K14" s="8">
        <f>M7</f>
        <v/>
      </c>
      <c r="L14" s="22" t="n"/>
      <c r="M14" s="23" t="n"/>
    </row>
    <row r="15" ht="36" customHeight="1">
      <c r="A15" s="16" t="n">
        <v>-2</v>
      </c>
      <c r="B15" s="14">
        <f>EXP(A15/データ!$B$14)</f>
        <v/>
      </c>
      <c r="D15" s="16">
        <f>$H$4*9/50</f>
        <v/>
      </c>
      <c r="E15" s="14">
        <f>データ!$B$12*EXP(-D15/データ!$B$11)</f>
        <v/>
      </c>
      <c r="J15" s="8">
        <f>J8</f>
        <v/>
      </c>
      <c r="K15" s="8">
        <f>M8</f>
        <v/>
      </c>
      <c r="L15" s="22" t="n"/>
      <c r="M15" s="23" t="n"/>
    </row>
    <row r="16" ht="36" customHeight="1">
      <c r="A16" s="16" t="n">
        <v>0</v>
      </c>
      <c r="B16" s="14">
        <f>EXP(A16/データ!$B$14)</f>
        <v/>
      </c>
      <c r="D16" s="16">
        <f>$H$4*10/50</f>
        <v/>
      </c>
      <c r="E16" s="14">
        <f>データ!$B$12*EXP(-D16/データ!$B$11)</f>
        <v/>
      </c>
      <c r="J16" s="8">
        <f>J9</f>
        <v/>
      </c>
      <c r="K16" s="8">
        <f>M9</f>
        <v/>
      </c>
      <c r="L16" s="22" t="n"/>
      <c r="M16" s="23" t="n"/>
    </row>
    <row r="17" ht="36" customHeight="1">
      <c r="D17" s="16">
        <f>$H$4*11/50</f>
        <v/>
      </c>
      <c r="E17" s="14">
        <f>データ!$B$12*EXP(-D17/データ!$B$11)</f>
        <v/>
      </c>
      <c r="J17" s="8">
        <f>J10</f>
        <v/>
      </c>
      <c r="K17" s="8">
        <f>M10</f>
        <v/>
      </c>
      <c r="L17" s="22" t="n"/>
      <c r="M17" s="23" t="n"/>
    </row>
    <row r="18">
      <c r="A18" s="21" t="inlineStr">
        <is>
          <t>凡例対応（図11と同じ）</t>
        </is>
      </c>
      <c r="D18" s="16">
        <f>$H$4*12/50</f>
        <v/>
      </c>
      <c r="E18" s="14">
        <f>データ!$B$12*EXP(-D18/データ!$B$11)</f>
        <v/>
      </c>
    </row>
    <row r="19">
      <c r="A19" s="24" t="inlineStr">
        <is>
          <t>青線: 空気 λ=1475 m（x≤0）</t>
        </is>
      </c>
      <c r="B19" s="25" t="n"/>
      <c r="C19" s="25" t="n"/>
      <c r="D19" s="25" t="n"/>
      <c r="E19" s="26" t="n"/>
    </row>
    <row r="20">
      <c r="A20" s="24" t="inlineStr">
        <is>
          <t>灰線: A0·e^(-x/0.77)（A0=1, x[m]）⇔ EXP(-t_eq/77)</t>
        </is>
      </c>
      <c r="B20" s="25" t="n"/>
      <c r="C20" s="25" t="n"/>
      <c r="D20" s="25" t="n"/>
      <c r="E20" s="26" t="n"/>
    </row>
    <row r="21">
      <c r="A21" s="24" t="inlineStr">
        <is>
          <t>赤点: 測定（ユーザーCPS・地上=1）</t>
        </is>
      </c>
      <c r="B21" s="25" t="n"/>
      <c r="C21" s="25" t="n"/>
      <c r="D21" s="25" t="n"/>
      <c r="E21" s="26" t="n"/>
    </row>
    <row r="22">
      <c r="D22" s="16">
        <f>$H$4*16/50</f>
        <v/>
      </c>
      <c r="E22" s="14">
        <f>データ!$B$12*EXP(-D22/データ!$B$11)</f>
        <v/>
      </c>
    </row>
    <row r="23">
      <c r="D23" s="16">
        <f>$H$4*17/50</f>
        <v/>
      </c>
      <c r="E23" s="14">
        <f>データ!$B$12*EXP(-D23/データ!$B$11)</f>
        <v/>
      </c>
    </row>
    <row r="24">
      <c r="D24" s="16">
        <f>$H$4*18/50</f>
        <v/>
      </c>
      <c r="E24" s="14">
        <f>データ!$B$12*EXP(-D24/データ!$B$11)</f>
        <v/>
      </c>
    </row>
    <row r="25">
      <c r="D25" s="16">
        <f>$H$4*19/50</f>
        <v/>
      </c>
      <c r="E25" s="14">
        <f>データ!$B$12*EXP(-D25/データ!$B$11)</f>
        <v/>
      </c>
    </row>
    <row r="26">
      <c r="D26" s="16">
        <f>$H$4*20/50</f>
        <v/>
      </c>
      <c r="E26" s="14">
        <f>データ!$B$12*EXP(-D26/データ!$B$11)</f>
        <v/>
      </c>
    </row>
    <row r="27">
      <c r="D27" s="16">
        <f>$H$4*21/50</f>
        <v/>
      </c>
      <c r="E27" s="14">
        <f>データ!$B$12*EXP(-D27/データ!$B$11)</f>
        <v/>
      </c>
    </row>
    <row r="28">
      <c r="D28" s="16">
        <f>$H$4*22/50</f>
        <v/>
      </c>
      <c r="E28" s="14">
        <f>データ!$B$12*EXP(-D28/データ!$B$11)</f>
        <v/>
      </c>
    </row>
    <row r="29">
      <c r="D29" s="16">
        <f>$H$4*23/50</f>
        <v/>
      </c>
      <c r="E29" s="14">
        <f>データ!$B$12*EXP(-D29/データ!$B$11)</f>
        <v/>
      </c>
    </row>
    <row r="30">
      <c r="D30" s="16">
        <f>$H$4*24/50</f>
        <v/>
      </c>
      <c r="E30" s="14">
        <f>データ!$B$12*EXP(-D30/データ!$B$11)</f>
        <v/>
      </c>
    </row>
    <row r="31">
      <c r="D31" s="16">
        <f>$H$4*25/50</f>
        <v/>
      </c>
      <c r="E31" s="14">
        <f>データ!$B$12*EXP(-D31/データ!$B$11)</f>
        <v/>
      </c>
    </row>
    <row r="32">
      <c r="D32" s="16">
        <f>$H$4*26/50</f>
        <v/>
      </c>
      <c r="E32" s="14">
        <f>データ!$B$12*EXP(-D32/データ!$B$11)</f>
        <v/>
      </c>
    </row>
    <row r="33">
      <c r="D33" s="16">
        <f>$H$4*27/50</f>
        <v/>
      </c>
      <c r="E33" s="14">
        <f>データ!$B$12*EXP(-D33/データ!$B$11)</f>
        <v/>
      </c>
    </row>
    <row r="34">
      <c r="D34" s="16">
        <f>$H$4*28/50</f>
        <v/>
      </c>
      <c r="E34" s="14">
        <f>データ!$B$12*EXP(-D34/データ!$B$11)</f>
        <v/>
      </c>
    </row>
    <row r="35">
      <c r="D35" s="16">
        <f>$H$4*29/50</f>
        <v/>
      </c>
      <c r="E35" s="14">
        <f>データ!$B$12*EXP(-D35/データ!$B$11)</f>
        <v/>
      </c>
    </row>
    <row r="36">
      <c r="D36" s="16">
        <f>$H$4*30/50</f>
        <v/>
      </c>
      <c r="E36" s="14">
        <f>データ!$B$12*EXP(-D36/データ!$B$11)</f>
        <v/>
      </c>
    </row>
    <row r="37">
      <c r="D37" s="16">
        <f>$H$4*31/50</f>
        <v/>
      </c>
      <c r="E37" s="14">
        <f>データ!$B$12*EXP(-D37/データ!$B$11)</f>
        <v/>
      </c>
    </row>
    <row r="38">
      <c r="D38" s="16">
        <f>$H$4*32/50</f>
        <v/>
      </c>
      <c r="E38" s="14">
        <f>データ!$B$12*EXP(-D38/データ!$B$11)</f>
        <v/>
      </c>
    </row>
    <row r="39">
      <c r="D39" s="16">
        <f>$H$4*33/50</f>
        <v/>
      </c>
      <c r="E39" s="14">
        <f>データ!$B$12*EXP(-D39/データ!$B$11)</f>
        <v/>
      </c>
    </row>
    <row r="40">
      <c r="D40" s="16">
        <f>$H$4*34/50</f>
        <v/>
      </c>
      <c r="E40" s="14">
        <f>データ!$B$12*EXP(-D40/データ!$B$11)</f>
        <v/>
      </c>
    </row>
    <row r="41">
      <c r="D41" s="16">
        <f>$H$4*35/50</f>
        <v/>
      </c>
      <c r="E41" s="14">
        <f>データ!$B$12*EXP(-D41/データ!$B$11)</f>
        <v/>
      </c>
    </row>
    <row r="42">
      <c r="D42" s="16">
        <f>$H$4*36/50</f>
        <v/>
      </c>
      <c r="E42" s="14">
        <f>データ!$B$12*EXP(-D42/データ!$B$11)</f>
        <v/>
      </c>
    </row>
    <row r="43">
      <c r="D43" s="16">
        <f>$H$4*37/50</f>
        <v/>
      </c>
      <c r="E43" s="14">
        <f>データ!$B$12*EXP(-D43/データ!$B$11)</f>
        <v/>
      </c>
    </row>
    <row r="44">
      <c r="D44" s="16">
        <f>$H$4*38/50</f>
        <v/>
      </c>
      <c r="E44" s="14">
        <f>データ!$B$12*EXP(-D44/データ!$B$11)</f>
        <v/>
      </c>
    </row>
    <row r="45">
      <c r="D45" s="16">
        <f>$H$4*39/50</f>
        <v/>
      </c>
      <c r="E45" s="14">
        <f>データ!$B$12*EXP(-D45/データ!$B$11)</f>
        <v/>
      </c>
    </row>
    <row r="46">
      <c r="D46" s="16">
        <f>$H$4*40/50</f>
        <v/>
      </c>
      <c r="E46" s="14">
        <f>データ!$B$12*EXP(-D46/データ!$B$11)</f>
        <v/>
      </c>
    </row>
    <row r="47">
      <c r="D47" s="16">
        <f>$H$4*41/50</f>
        <v/>
      </c>
      <c r="E47" s="14">
        <f>データ!$B$12*EXP(-D47/データ!$B$11)</f>
        <v/>
      </c>
    </row>
    <row r="48">
      <c r="D48" s="16">
        <f>$H$4*42/50</f>
        <v/>
      </c>
      <c r="E48" s="14">
        <f>データ!$B$12*EXP(-D48/データ!$B$11)</f>
        <v/>
      </c>
    </row>
    <row r="49">
      <c r="D49" s="16">
        <f>$H$4*43/50</f>
        <v/>
      </c>
      <c r="E49" s="14">
        <f>データ!$B$12*EXP(-D49/データ!$B$11)</f>
        <v/>
      </c>
    </row>
    <row r="50">
      <c r="D50" s="16">
        <f>$H$4*44/50</f>
        <v/>
      </c>
      <c r="E50" s="14">
        <f>データ!$B$12*EXP(-D50/データ!$B$11)</f>
        <v/>
      </c>
    </row>
    <row r="51">
      <c r="D51" s="16">
        <f>$H$4*45/50</f>
        <v/>
      </c>
      <c r="E51" s="14">
        <f>データ!$B$12*EXP(-D51/データ!$B$11)</f>
        <v/>
      </c>
    </row>
    <row r="52">
      <c r="D52" s="16">
        <f>$H$4*46/50</f>
        <v/>
      </c>
      <c r="E52" s="14">
        <f>データ!$B$12*EXP(-D52/データ!$B$11)</f>
        <v/>
      </c>
    </row>
    <row r="53">
      <c r="D53" s="16">
        <f>$H$4*47/50</f>
        <v/>
      </c>
      <c r="E53" s="14">
        <f>データ!$B$12*EXP(-D53/データ!$B$11)</f>
        <v/>
      </c>
    </row>
    <row r="54">
      <c r="D54" s="16">
        <f>$H$4*48/50</f>
        <v/>
      </c>
      <c r="E54" s="14">
        <f>データ!$B$12*EXP(-D54/データ!$B$11)</f>
        <v/>
      </c>
    </row>
    <row r="55">
      <c r="D55" s="16">
        <f>$H$4*49/50</f>
        <v/>
      </c>
      <c r="E55" s="14">
        <f>データ!$B$12*EXP(-D55/データ!$B$11)</f>
        <v/>
      </c>
    </row>
    <row r="56">
      <c r="D56" s="16">
        <f>$H$4*50/50</f>
        <v/>
      </c>
      <c r="E56" s="14">
        <f>データ!$B$12*EXP(-D56/データ!$B$11)</f>
        <v/>
      </c>
    </row>
  </sheetData>
  <mergeCells count="10">
    <mergeCell ref="A21:E21"/>
    <mergeCell ref="A20:E20"/>
    <mergeCell ref="A1:M1"/>
    <mergeCell ref="K13:M13"/>
    <mergeCell ref="K14:M14"/>
    <mergeCell ref="A19:E19"/>
    <mergeCell ref="K17:M17"/>
    <mergeCell ref="K16:M16"/>
    <mergeCell ref="A2:M2"/>
    <mergeCell ref="K15:M1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2026-08-20T21:40:29Z</dcterms:created>
  <dcterms:modified xsi:type="dcterms:W3CDTF">2026-08-20T21:40:29Z</dcterms:modified>
</cp:coreProperties>
</file>