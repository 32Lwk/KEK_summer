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グラフ" sheetId="1" state="visible" r:id="rId1"/>
    <sheet name="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00"/>
    <numFmt numFmtId="166" formatCode="0.0000"/>
    <numFmt numFmtId="167" formatCode="0.00000000"/>
  </numFmts>
  <fonts count="7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sz val="12"/>
    </font>
    <font>
      <b val="1"/>
      <sz val="11"/>
    </font>
    <font>
      <sz val="11"/>
    </font>
    <font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7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scatterChart>
        <scatterStyle val="lineMarker"/>
        <ser>
          <idx val="0"/>
          <order val="0"/>
          <tx>
            <v>空気 λ=1475 m</v>
          </tx>
          <spPr>
            <a:ln w="18000">
              <a:solidFill>
                <a:srgbClr val="1F77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'グラフ'!$A$5:$A$15</f>
              <numCache>
                <ptCount val="11"/>
                <pt idx="0">
                  <v>-20</v>
                </pt>
                <pt idx="1">
                  <v>-18</v>
                </pt>
                <pt idx="2">
                  <v>-16</v>
                </pt>
                <pt idx="3">
                  <v>-14</v>
                </pt>
                <pt idx="4">
                  <v>-12</v>
                </pt>
                <pt idx="5">
                  <v>-10</v>
                </pt>
                <pt idx="6">
                  <v>-8</v>
                </pt>
                <pt idx="7">
                  <v>-6</v>
                </pt>
                <pt idx="8">
                  <v>-4</v>
                </pt>
                <pt idx="9">
                  <v>-2</v>
                </pt>
                <pt idx="10">
                  <v>0</v>
                </pt>
              </numCache>
            </numRef>
          </xVal>
          <yVal>
            <numRef>
              <f>'グラフ'!$B$5:$B$15</f>
              <numCache>
                <ptCount val="11"/>
                <pt idx="0">
                  <v>0.999864416</v>
                </pt>
                <pt idx="1">
                  <v>0.9998779735</v>
                </pt>
                <pt idx="2">
                  <v>0.9998915313</v>
                </pt>
                <pt idx="3">
                  <v>0.9999050893</v>
                </pt>
                <pt idx="4">
                  <v>0.9999186474</v>
                </pt>
                <pt idx="5">
                  <v>0.9999322057</v>
                </pt>
                <pt idx="6">
                  <v>0.9999457642</v>
                </pt>
                <pt idx="7">
                  <v>0.9999593229</v>
                </pt>
                <pt idx="8">
                  <v>0.9999728817</v>
                </pt>
                <pt idx="9">
                  <v>0.9999864408</v>
                </pt>
                <pt idx="10">
                  <v>1</v>
                </pt>
              </numCache>
            </numRef>
          </yVal>
        </ser>
        <ser>
          <idx val="1"/>
          <order val="1"/>
          <tx>
            <v>A0·e^(-x/0.77)（A0=1, x[m]）</v>
          </tx>
          <spPr>
            <a:ln w="22000">
              <a:solidFill>
                <a:srgbClr val="6666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'グラフ'!$D$5:$D$58</f>
              <numCache>
                <ptCount val="54"/>
                <pt idx="0">
                  <v>0</v>
                </pt>
                <pt idx="1">
                  <v>10</v>
                </pt>
                <pt idx="2">
                  <v>20</v>
                </pt>
                <pt idx="3">
                  <v>30</v>
                </pt>
                <pt idx="4">
                  <v>40</v>
                </pt>
                <pt idx="5">
                  <v>50</v>
                </pt>
                <pt idx="6">
                  <v>60</v>
                </pt>
                <pt idx="7">
                  <v>70</v>
                </pt>
                <pt idx="8">
                  <v>80</v>
                </pt>
                <pt idx="9">
                  <v>90</v>
                </pt>
                <pt idx="10">
                  <v>100</v>
                </pt>
                <pt idx="11">
                  <v>110</v>
                </pt>
                <pt idx="12">
                  <v>120</v>
                </pt>
                <pt idx="13">
                  <v>130</v>
                </pt>
                <pt idx="14">
                  <v>140</v>
                </pt>
                <pt idx="15">
                  <v>150</v>
                </pt>
                <pt idx="16">
                  <v>160</v>
                </pt>
                <pt idx="17">
                  <v>170</v>
                </pt>
                <pt idx="18">
                  <v>180</v>
                </pt>
                <pt idx="19">
                  <v>190</v>
                </pt>
                <pt idx="20">
                  <v>200</v>
                </pt>
                <pt idx="21">
                  <v>210</v>
                </pt>
                <pt idx="22">
                  <v>220</v>
                </pt>
                <pt idx="23">
                  <v>230</v>
                </pt>
                <pt idx="24">
                  <v>240</v>
                </pt>
                <pt idx="25">
                  <v>250</v>
                </pt>
                <pt idx="26">
                  <v>260</v>
                </pt>
                <pt idx="27">
                  <v>270</v>
                </pt>
                <pt idx="28">
                  <v>280</v>
                </pt>
                <pt idx="29">
                  <v>290</v>
                </pt>
                <pt idx="30">
                  <v>300</v>
                </pt>
                <pt idx="31">
                  <v>310</v>
                </pt>
                <pt idx="32">
                  <v>320</v>
                </pt>
                <pt idx="33">
                  <v>330</v>
                </pt>
                <pt idx="34">
                  <v>340</v>
                </pt>
                <pt idx="35">
                  <v>350</v>
                </pt>
                <pt idx="36">
                  <v>360</v>
                </pt>
                <pt idx="37">
                  <v>370</v>
                </pt>
                <pt idx="38">
                  <v>380</v>
                </pt>
                <pt idx="39">
                  <v>390</v>
                </pt>
                <pt idx="40">
                  <v>400</v>
                </pt>
                <pt idx="41">
                  <v>410</v>
                </pt>
                <pt idx="42">
                  <v>420</v>
                </pt>
                <pt idx="43">
                  <v>430</v>
                </pt>
                <pt idx="44">
                  <v>440</v>
                </pt>
                <pt idx="45">
                  <v>450</v>
                </pt>
                <pt idx="46">
                  <v>460</v>
                </pt>
                <pt idx="47">
                  <v>470</v>
                </pt>
                <pt idx="48">
                  <v>480</v>
                </pt>
                <pt idx="49">
                  <v>490</v>
                </pt>
                <pt idx="50">
                  <v>500</v>
                </pt>
                <pt idx="51">
                  <v>510</v>
                </pt>
                <pt idx="52">
                  <v>520</v>
                </pt>
                <pt idx="53">
                  <v>530</v>
                </pt>
              </numCache>
            </numRef>
          </xVal>
          <yVal>
            <numRef>
              <f>'グラフ'!$E$5:$E$58</f>
              <numCache>
                <ptCount val="54"/>
                <pt idx="0">
                  <v>1</v>
                </pt>
                <pt idx="1">
                  <v>0.8782094767</v>
                </pt>
                <pt idx="2">
                  <v>0.771251885</v>
                </pt>
                <pt idx="3">
                  <v>0.6773207143</v>
                </pt>
                <pt idx="4">
                  <v>0.59482947</v>
                </pt>
                <pt idx="5">
                  <v>0.5223848776</v>
                </pt>
                <pt idx="6">
                  <v>0.45876335</v>
                </pt>
                <pt idx="7">
                  <v>0.4028903215</v>
                </pt>
                <pt idx="8">
                  <v>0.3538220984</v>
                </pt>
                <pt idx="9">
                  <v>0.3107299199</v>
                </pt>
                <pt idx="10">
                  <v>0.2728859604</v>
                </pt>
                <pt idx="11">
                  <v>0.2396510364</v>
                </pt>
                <pt idx="12">
                  <v>0.2104638113</v>
                </pt>
                <pt idx="13">
                  <v>0.1848313136</v>
                </pt>
                <pt idx="14">
                  <v>0.1623206112</v>
                </pt>
                <pt idx="15">
                  <v>0.142551499</v>
                </pt>
                <pt idx="16">
                  <v>0.1251900773</v>
                </pt>
                <pt idx="17">
                  <v>0.1099431123</v>
                </pt>
                <pt idx="18">
                  <v>0.09655308312999999</v>
                </pt>
                <pt idx="19">
                  <v>0.08479383260999999</v>
                </pt>
                <pt idx="20">
                  <v>0.07446674736</v>
                </pt>
                <pt idx="21">
                  <v>0.06539740323</v>
                </pt>
                <pt idx="22">
                  <v>0.05743261927</v>
                </pt>
                <pt idx="23">
                  <v>0.05043787051</v>
                </pt>
                <pt idx="24">
                  <v>0.04429501587</v>
                </pt>
                <pt idx="25">
                  <v>0.03890030271</v>
                </pt>
                <pt idx="26">
                  <v>0.03416261448</v>
                </pt>
                <pt idx="27">
                  <v>0.03000193179</v>
                </pt>
                <pt idx="28">
                  <v>0.02634798081</v>
                </pt>
                <pt idx="29">
                  <v>0.02313904644</v>
                </pt>
                <pt idx="30">
                  <v>0.02032092987</v>
                </pt>
                <pt idx="31">
                  <v>0.01784603319</v>
                </pt>
                <pt idx="32">
                  <v>0.01567255546</v>
                </pt>
                <pt idx="33">
                  <v>0.01376378673</v>
                </pt>
                <pt idx="34">
                  <v>0.01208748794</v>
                </pt>
                <pt idx="35">
                  <v>0.01061534646</v>
                </pt>
                <pt idx="36">
                  <v>0.009322497860999999</v>
                </pt>
                <pt idx="37">
                  <v>0.008187105968</v>
                </pt>
                <pt idx="38">
                  <v>0.007189994048</v>
                </pt>
                <pt idx="39">
                  <v>0.00631432091</v>
                </pt>
                <pt idx="40">
                  <v>0.005545296462</v>
                </pt>
                <pt idx="41">
                  <v>0.004869931904</v>
                </pt>
                <pt idx="42">
                  <v>0.004276820349</v>
                </pt>
                <pt idx="43">
                  <v>0.003755944161</v>
                </pt>
                <pt idx="44">
                  <v>0.003298505756</v>
                </pt>
                <pt idx="45">
                  <v>0.002896779014</v>
                </pt>
                <pt idx="46">
                  <v>0.002543978782</v>
                </pt>
                <pt idx="47">
                  <v>0.002234146275</v>
                </pt>
                <pt idx="48">
                  <v>0.001962048431</v>
                </pt>
                <pt idx="49">
                  <v>0.001723089526</v>
                </pt>
                <pt idx="50">
                  <v>0.001513233551</v>
                </pt>
                <pt idx="51">
                  <v>0.001328936045</v>
                </pt>
                <pt idx="52">
                  <v>0.001167084228</v>
                </pt>
                <pt idx="53">
                  <v>0.001024944429</v>
                </pt>
              </numCache>
            </numRef>
          </yVal>
        </ser>
        <ser>
          <idx val="2"/>
          <order val="2"/>
          <tx>
            <v>測定（ユーザーCPS・地上=1）</v>
          </tx>
          <spPr>
            <a:ln>
              <a:noFill/>
              <a:prstDash val="solid"/>
            </a:ln>
          </spPr>
          <marker>
            <symbol val="circle"/>
            <size val="9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'グラフ'!$H$5:$H$9</f>
              <numCache>
                <ptCount val="5"/>
                <pt idx="0">
                  <v>0</v>
                </pt>
                <pt idx="1">
                  <v>105</v>
                </pt>
                <pt idx="2">
                  <v>150</v>
                </pt>
                <pt idx="3">
                  <v>189.1304348</v>
                </pt>
                <pt idx="4">
                  <v>508.4782609</v>
                </pt>
              </numCache>
            </numRef>
          </xVal>
          <yVal>
            <numRef>
              <f>'グラフ'!$I$5:$I$9</f>
              <numCache>
                <ptCount val="5"/>
                <pt idx="0">
                  <v>1</v>
                </pt>
                <pt idx="1">
                  <v>0.4781264241</v>
                </pt>
                <pt idx="2">
                  <v>0.1233735587</v>
                </pt>
                <pt idx="3">
                  <v>0.2185234578</v>
                </pt>
                <pt idx="4">
                  <v>0.07604057103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  <max val="530"/>
          <min val="-20"/>
        </scaling>
        <delete val="0"/>
        <axPos val="l"/>
        <majorGridlines>
          <spPr>
            <a:ln w="6350">
              <a:solidFill>
                <a:srgbClr val="D0D0D0"/>
              </a:solidFill>
              <a:prstDash val="dash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等価コンクリート厚さ [cm]（t_eq = X/ρ_c）</a:t>
                </a:r>
              </a:p>
            </rich>
          </tx>
        </title>
        <numFmt formatCode="0" sourceLinked="0"/>
        <majorTickMark val="out"/>
        <minorTickMark val="out"/>
        <tickLblPos val="nextTo"/>
        <spPr>
          <a:ln w="12700">
            <a:solidFill>
              <a:srgbClr val="000000"/>
            </a:solidFill>
            <a:prstDash val="solid"/>
          </a:ln>
        </spPr>
        <crossAx val="20"/>
        <majorUnit val="50"/>
        <minorUnit val="10"/>
      </valAx>
      <valAx>
        <axId val="20"/>
        <scaling>
          <orientation val="minMax"/>
          <max val="1.12"/>
          <min val="0"/>
        </scaling>
        <delete val="0"/>
        <axPos val="l"/>
        <majorGridlines>
          <spPr>
            <a:ln w="6350">
              <a:solidFill>
                <a:srgbClr val="D0D0D0"/>
              </a:solidFill>
              <a:prstDash val="dash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相対 CPS（地上 = 1）</a:t>
                </a:r>
              </a:p>
            </rich>
          </tx>
        </title>
        <numFmt formatCode="0.0" sourceLinked="0"/>
        <majorTickMark val="out"/>
        <minorTickMark val="out"/>
        <tickLblPos val="nextTo"/>
        <spPr>
          <a:ln w="12700">
            <a:solidFill>
              <a:srgbClr val="000000"/>
            </a:solidFill>
            <a:prstDash val="solid"/>
          </a:ln>
        </spPr>
        <crossAx val="10"/>
        <majorUnit val="0.1"/>
        <minorUnit val="0.02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3" customWidth="1" min="3" max="3"/>
    <col width="10" customWidth="1" min="4" max="4"/>
    <col width="10" customWidth="1" min="5" max="5"/>
    <col width="3" customWidth="1" min="6" max="6"/>
    <col width="10" customWidth="1" min="7" max="7"/>
    <col width="10" customWidth="1" min="8" max="8"/>
    <col width="10" customWidth="1" min="9" max="9"/>
    <col width="40" customWidth="1" min="10" max="10"/>
    <col width="3" customWidth="1" min="11" max="11"/>
    <col width="3" customWidth="1" min="12" max="12"/>
  </cols>
  <sheetData>
    <row r="1">
      <c r="A1" s="1" t="inlineStr">
        <is>
          <t>相対CPS vs 等価コンクリート厚さ（図11）</t>
        </is>
      </c>
    </row>
    <row r="3">
      <c r="A3" s="2" t="inlineStr">
        <is>
          <t>空気（x≤0）</t>
        </is>
      </c>
      <c r="D3" s="2" t="inlineStr">
        <is>
          <t>理論曲線</t>
        </is>
      </c>
      <c r="G3" s="2" t="inlineStr">
        <is>
          <t>測定点（データ参照）</t>
        </is>
      </c>
    </row>
    <row r="4">
      <c r="A4" s="3" t="inlineStr">
        <is>
          <t>x[cm]</t>
        </is>
      </c>
      <c r="B4" s="3" t="inlineStr">
        <is>
          <t>y</t>
        </is>
      </c>
      <c r="D4" s="3" t="inlineStr">
        <is>
          <t>t_eq[cm]</t>
        </is>
      </c>
      <c r="E4" s="3" t="inlineStr">
        <is>
          <t>理論A</t>
        </is>
      </c>
      <c r="G4" s="3" t="inlineStr">
        <is>
          <t>地点</t>
        </is>
      </c>
      <c r="H4" s="3" t="inlineStr">
        <is>
          <t>t_eq[cm]</t>
        </is>
      </c>
      <c r="I4" s="3" t="inlineStr">
        <is>
          <t>相対</t>
        </is>
      </c>
      <c r="J4" s="3" t="inlineStr">
        <is>
          <t>ラベル</t>
        </is>
      </c>
    </row>
    <row r="5" ht="28" customHeight="1">
      <c r="A5" s="18" t="n">
        <v>-20</v>
      </c>
      <c r="B5" s="5">
        <f>EXP(A5/データ!$B$14)</f>
        <v/>
      </c>
      <c r="D5" s="18" t="n">
        <v>0</v>
      </c>
      <c r="E5" s="5">
        <f>データ!$B$12*EXP(-D5/データ!$B$11)</f>
        <v/>
      </c>
      <c r="G5" s="6">
        <f>データ!A18</f>
        <v/>
      </c>
      <c r="H5" s="18">
        <f>データ!I18</f>
        <v/>
      </c>
      <c r="I5" s="19">
        <f>データ!E18</f>
        <v/>
      </c>
      <c r="J5" s="6">
        <f>データ!L18</f>
        <v/>
      </c>
    </row>
    <row r="6" ht="28" customHeight="1">
      <c r="A6" s="18" t="n">
        <v>-18</v>
      </c>
      <c r="B6" s="5">
        <f>EXP(A6/データ!$B$14)</f>
        <v/>
      </c>
      <c r="D6" s="18" t="n">
        <v>10</v>
      </c>
      <c r="E6" s="5">
        <f>データ!$B$12*EXP(-D6/データ!$B$11)</f>
        <v/>
      </c>
      <c r="G6" s="6">
        <f>データ!A19</f>
        <v/>
      </c>
      <c r="H6" s="18">
        <f>データ!I19</f>
        <v/>
      </c>
      <c r="I6" s="19">
        <f>データ!E19</f>
        <v/>
      </c>
      <c r="J6" s="6">
        <f>データ!L19</f>
        <v/>
      </c>
    </row>
    <row r="7" ht="28" customHeight="1">
      <c r="A7" s="18" t="n">
        <v>-16</v>
      </c>
      <c r="B7" s="5">
        <f>EXP(A7/データ!$B$14)</f>
        <v/>
      </c>
      <c r="D7" s="18" t="n">
        <v>20</v>
      </c>
      <c r="E7" s="5">
        <f>データ!$B$12*EXP(-D7/データ!$B$11)</f>
        <v/>
      </c>
      <c r="G7" s="6">
        <f>データ!A20</f>
        <v/>
      </c>
      <c r="H7" s="18">
        <f>データ!I20</f>
        <v/>
      </c>
      <c r="I7" s="19">
        <f>データ!E20</f>
        <v/>
      </c>
      <c r="J7" s="6">
        <f>データ!L20</f>
        <v/>
      </c>
    </row>
    <row r="8" ht="28" customHeight="1">
      <c r="A8" s="18" t="n">
        <v>-14</v>
      </c>
      <c r="B8" s="5">
        <f>EXP(A8/データ!$B$14)</f>
        <v/>
      </c>
      <c r="D8" s="18" t="n">
        <v>30</v>
      </c>
      <c r="E8" s="5">
        <f>データ!$B$12*EXP(-D8/データ!$B$11)</f>
        <v/>
      </c>
      <c r="G8" s="6">
        <f>データ!A21</f>
        <v/>
      </c>
      <c r="H8" s="18">
        <f>データ!I21</f>
        <v/>
      </c>
      <c r="I8" s="19">
        <f>データ!E21</f>
        <v/>
      </c>
      <c r="J8" s="6">
        <f>データ!L21</f>
        <v/>
      </c>
    </row>
    <row r="9" ht="28" customHeight="1">
      <c r="A9" s="18" t="n">
        <v>-12</v>
      </c>
      <c r="B9" s="5">
        <f>EXP(A9/データ!$B$14)</f>
        <v/>
      </c>
      <c r="D9" s="18" t="n">
        <v>40</v>
      </c>
      <c r="E9" s="5">
        <f>データ!$B$12*EXP(-D9/データ!$B$11)</f>
        <v/>
      </c>
      <c r="G9" s="6">
        <f>データ!A22</f>
        <v/>
      </c>
      <c r="H9" s="18">
        <f>データ!I22</f>
        <v/>
      </c>
      <c r="I9" s="19">
        <f>データ!E22</f>
        <v/>
      </c>
      <c r="J9" s="6">
        <f>データ!L22</f>
        <v/>
      </c>
    </row>
    <row r="10">
      <c r="A10" s="18" t="n">
        <v>-10</v>
      </c>
      <c r="B10" s="5">
        <f>EXP(A10/データ!$B$14)</f>
        <v/>
      </c>
      <c r="D10" s="18" t="n">
        <v>50</v>
      </c>
      <c r="E10" s="5">
        <f>データ!$B$12*EXP(-D10/データ!$B$11)</f>
        <v/>
      </c>
    </row>
    <row r="11">
      <c r="A11" s="18" t="n">
        <v>-8</v>
      </c>
      <c r="B11" s="5">
        <f>EXP(A11/データ!$B$14)</f>
        <v/>
      </c>
      <c r="D11" s="18" t="n">
        <v>60</v>
      </c>
      <c r="E11" s="5">
        <f>データ!$B$12*EXP(-D11/データ!$B$11)</f>
        <v/>
      </c>
      <c r="G11" s="2" t="inlineStr">
        <is>
          <t>注釈（数式）</t>
        </is>
      </c>
    </row>
    <row r="12" ht="28" customHeight="1">
      <c r="A12" s="18" t="n">
        <v>-6</v>
      </c>
      <c r="B12" s="5">
        <f>EXP(A12/データ!$B$14)</f>
        <v/>
      </c>
      <c r="D12" s="18" t="n">
        <v>70</v>
      </c>
      <c r="E12" s="5">
        <f>データ!$B$12*EXP(-D12/データ!$B$11)</f>
        <v/>
      </c>
      <c r="G12" s="6">
        <f>G5</f>
        <v/>
      </c>
      <c r="H12" s="6">
        <f>J5</f>
        <v/>
      </c>
      <c r="I12" s="8" t="n"/>
      <c r="J12" s="9" t="n"/>
    </row>
    <row r="13" ht="28" customHeight="1">
      <c r="A13" s="18" t="n">
        <v>-4</v>
      </c>
      <c r="B13" s="5">
        <f>EXP(A13/データ!$B$14)</f>
        <v/>
      </c>
      <c r="D13" s="18" t="n">
        <v>80</v>
      </c>
      <c r="E13" s="5">
        <f>データ!$B$12*EXP(-D13/データ!$B$11)</f>
        <v/>
      </c>
      <c r="G13" s="6">
        <f>G6</f>
        <v/>
      </c>
      <c r="H13" s="6">
        <f>J6</f>
        <v/>
      </c>
      <c r="I13" s="8" t="n"/>
      <c r="J13" s="9" t="n"/>
    </row>
    <row r="14" ht="28" customHeight="1">
      <c r="A14" s="18" t="n">
        <v>-2</v>
      </c>
      <c r="B14" s="5">
        <f>EXP(A14/データ!$B$14)</f>
        <v/>
      </c>
      <c r="D14" s="18" t="n">
        <v>90</v>
      </c>
      <c r="E14" s="5">
        <f>データ!$B$12*EXP(-D14/データ!$B$11)</f>
        <v/>
      </c>
      <c r="G14" s="6">
        <f>G7</f>
        <v/>
      </c>
      <c r="H14" s="6">
        <f>J7</f>
        <v/>
      </c>
      <c r="I14" s="8" t="n"/>
      <c r="J14" s="9" t="n"/>
    </row>
    <row r="15" ht="28" customHeight="1">
      <c r="A15" s="18" t="n">
        <v>0</v>
      </c>
      <c r="B15" s="5">
        <f>EXP(A15/データ!$B$14)</f>
        <v/>
      </c>
      <c r="D15" s="18" t="n">
        <v>100</v>
      </c>
      <c r="E15" s="5">
        <f>データ!$B$12*EXP(-D15/データ!$B$11)</f>
        <v/>
      </c>
      <c r="G15" s="6">
        <f>G8</f>
        <v/>
      </c>
      <c r="H15" s="6">
        <f>J8</f>
        <v/>
      </c>
      <c r="I15" s="8" t="n"/>
      <c r="J15" s="9" t="n"/>
    </row>
    <row r="16" ht="28" customHeight="1">
      <c r="D16" s="18" t="n">
        <v>110</v>
      </c>
      <c r="E16" s="5">
        <f>データ!$B$12*EXP(-D16/データ!$B$11)</f>
        <v/>
      </c>
      <c r="G16" s="6">
        <f>G9</f>
        <v/>
      </c>
      <c r="H16" s="6">
        <f>J9</f>
        <v/>
      </c>
      <c r="I16" s="8" t="n"/>
      <c r="J16" s="9" t="n"/>
    </row>
    <row r="17">
      <c r="A17" s="10" t="inlineStr">
        <is>
          <t>凡例: 青=空気 λ=1475 m / 灰=A0·e^(-x/0.77) / 赤=測定（地上=1）</t>
        </is>
      </c>
      <c r="D17" s="18" t="n">
        <v>120</v>
      </c>
      <c r="E17" s="5">
        <f>データ!$B$12*EXP(-D17/データ!$B$11)</f>
        <v/>
      </c>
    </row>
    <row r="18">
      <c r="D18" s="18" t="n">
        <v>130</v>
      </c>
      <c r="E18" s="5">
        <f>データ!$B$12*EXP(-D18/データ!$B$11)</f>
        <v/>
      </c>
    </row>
    <row r="19">
      <c r="D19" s="18" t="n">
        <v>140</v>
      </c>
      <c r="E19" s="5">
        <f>データ!$B$12*EXP(-D19/データ!$B$11)</f>
        <v/>
      </c>
    </row>
    <row r="20">
      <c r="D20" s="18" t="n">
        <v>150</v>
      </c>
      <c r="E20" s="5">
        <f>データ!$B$12*EXP(-D20/データ!$B$11)</f>
        <v/>
      </c>
    </row>
    <row r="21">
      <c r="D21" s="18" t="n">
        <v>160</v>
      </c>
      <c r="E21" s="5">
        <f>データ!$B$12*EXP(-D21/データ!$B$11)</f>
        <v/>
      </c>
    </row>
    <row r="22">
      <c r="D22" s="18" t="n">
        <v>170</v>
      </c>
      <c r="E22" s="5">
        <f>データ!$B$12*EXP(-D22/データ!$B$11)</f>
        <v/>
      </c>
    </row>
    <row r="23">
      <c r="D23" s="18" t="n">
        <v>180</v>
      </c>
      <c r="E23" s="5">
        <f>データ!$B$12*EXP(-D23/データ!$B$11)</f>
        <v/>
      </c>
    </row>
    <row r="24">
      <c r="D24" s="18" t="n">
        <v>190</v>
      </c>
      <c r="E24" s="5">
        <f>データ!$B$12*EXP(-D24/データ!$B$11)</f>
        <v/>
      </c>
    </row>
    <row r="25">
      <c r="D25" s="18" t="n">
        <v>200</v>
      </c>
      <c r="E25" s="5">
        <f>データ!$B$12*EXP(-D25/データ!$B$11)</f>
        <v/>
      </c>
    </row>
    <row r="26">
      <c r="D26" s="18" t="n">
        <v>210</v>
      </c>
      <c r="E26" s="5">
        <f>データ!$B$12*EXP(-D26/データ!$B$11)</f>
        <v/>
      </c>
    </row>
    <row r="27">
      <c r="D27" s="18" t="n">
        <v>220</v>
      </c>
      <c r="E27" s="5">
        <f>データ!$B$12*EXP(-D27/データ!$B$11)</f>
        <v/>
      </c>
    </row>
    <row r="28">
      <c r="D28" s="18" t="n">
        <v>230</v>
      </c>
      <c r="E28" s="5">
        <f>データ!$B$12*EXP(-D28/データ!$B$11)</f>
        <v/>
      </c>
    </row>
    <row r="29">
      <c r="D29" s="18" t="n">
        <v>240</v>
      </c>
      <c r="E29" s="5">
        <f>データ!$B$12*EXP(-D29/データ!$B$11)</f>
        <v/>
      </c>
    </row>
    <row r="30">
      <c r="D30" s="18" t="n">
        <v>250</v>
      </c>
      <c r="E30" s="5">
        <f>データ!$B$12*EXP(-D30/データ!$B$11)</f>
        <v/>
      </c>
    </row>
    <row r="31">
      <c r="D31" s="18" t="n">
        <v>260</v>
      </c>
      <c r="E31" s="5">
        <f>データ!$B$12*EXP(-D31/データ!$B$11)</f>
        <v/>
      </c>
    </row>
    <row r="32">
      <c r="D32" s="18" t="n">
        <v>270</v>
      </c>
      <c r="E32" s="5">
        <f>データ!$B$12*EXP(-D32/データ!$B$11)</f>
        <v/>
      </c>
    </row>
    <row r="33">
      <c r="D33" s="18" t="n">
        <v>280</v>
      </c>
      <c r="E33" s="5">
        <f>データ!$B$12*EXP(-D33/データ!$B$11)</f>
        <v/>
      </c>
    </row>
    <row r="34">
      <c r="D34" s="18" t="n">
        <v>290</v>
      </c>
      <c r="E34" s="5">
        <f>データ!$B$12*EXP(-D34/データ!$B$11)</f>
        <v/>
      </c>
    </row>
    <row r="35">
      <c r="D35" s="18" t="n">
        <v>300</v>
      </c>
      <c r="E35" s="5">
        <f>データ!$B$12*EXP(-D35/データ!$B$11)</f>
        <v/>
      </c>
    </row>
    <row r="36">
      <c r="D36" s="18" t="n">
        <v>310</v>
      </c>
      <c r="E36" s="5">
        <f>データ!$B$12*EXP(-D36/データ!$B$11)</f>
        <v/>
      </c>
    </row>
    <row r="37">
      <c r="D37" s="18" t="n">
        <v>320</v>
      </c>
      <c r="E37" s="5">
        <f>データ!$B$12*EXP(-D37/データ!$B$11)</f>
        <v/>
      </c>
    </row>
    <row r="38">
      <c r="D38" s="18" t="n">
        <v>330</v>
      </c>
      <c r="E38" s="5">
        <f>データ!$B$12*EXP(-D38/データ!$B$11)</f>
        <v/>
      </c>
    </row>
    <row r="39">
      <c r="D39" s="18" t="n">
        <v>340</v>
      </c>
      <c r="E39" s="5">
        <f>データ!$B$12*EXP(-D39/データ!$B$11)</f>
        <v/>
      </c>
    </row>
    <row r="40">
      <c r="D40" s="18" t="n">
        <v>350</v>
      </c>
      <c r="E40" s="5">
        <f>データ!$B$12*EXP(-D40/データ!$B$11)</f>
        <v/>
      </c>
    </row>
    <row r="41">
      <c r="D41" s="18" t="n">
        <v>360</v>
      </c>
      <c r="E41" s="5">
        <f>データ!$B$12*EXP(-D41/データ!$B$11)</f>
        <v/>
      </c>
    </row>
    <row r="42">
      <c r="D42" s="18" t="n">
        <v>370</v>
      </c>
      <c r="E42" s="5">
        <f>データ!$B$12*EXP(-D42/データ!$B$11)</f>
        <v/>
      </c>
    </row>
    <row r="43">
      <c r="D43" s="18" t="n">
        <v>380</v>
      </c>
      <c r="E43" s="5">
        <f>データ!$B$12*EXP(-D43/データ!$B$11)</f>
        <v/>
      </c>
    </row>
    <row r="44">
      <c r="D44" s="18" t="n">
        <v>390</v>
      </c>
      <c r="E44" s="5">
        <f>データ!$B$12*EXP(-D44/データ!$B$11)</f>
        <v/>
      </c>
    </row>
    <row r="45">
      <c r="D45" s="18" t="n">
        <v>400</v>
      </c>
      <c r="E45" s="5">
        <f>データ!$B$12*EXP(-D45/データ!$B$11)</f>
        <v/>
      </c>
    </row>
    <row r="46">
      <c r="D46" s="18" t="n">
        <v>410</v>
      </c>
      <c r="E46" s="5">
        <f>データ!$B$12*EXP(-D46/データ!$B$11)</f>
        <v/>
      </c>
    </row>
    <row r="47">
      <c r="D47" s="18" t="n">
        <v>420</v>
      </c>
      <c r="E47" s="5">
        <f>データ!$B$12*EXP(-D47/データ!$B$11)</f>
        <v/>
      </c>
    </row>
    <row r="48">
      <c r="D48" s="18" t="n">
        <v>430</v>
      </c>
      <c r="E48" s="5">
        <f>データ!$B$12*EXP(-D48/データ!$B$11)</f>
        <v/>
      </c>
    </row>
    <row r="49">
      <c r="D49" s="18" t="n">
        <v>440</v>
      </c>
      <c r="E49" s="5">
        <f>データ!$B$12*EXP(-D49/データ!$B$11)</f>
        <v/>
      </c>
    </row>
    <row r="50">
      <c r="D50" s="18" t="n">
        <v>450</v>
      </c>
      <c r="E50" s="5">
        <f>データ!$B$12*EXP(-D50/データ!$B$11)</f>
        <v/>
      </c>
    </row>
    <row r="51">
      <c r="D51" s="18" t="n">
        <v>460</v>
      </c>
      <c r="E51" s="5">
        <f>データ!$B$12*EXP(-D51/データ!$B$11)</f>
        <v/>
      </c>
    </row>
    <row r="52">
      <c r="D52" s="18" t="n">
        <v>470</v>
      </c>
      <c r="E52" s="5">
        <f>データ!$B$12*EXP(-D52/データ!$B$11)</f>
        <v/>
      </c>
    </row>
    <row r="53">
      <c r="D53" s="18" t="n">
        <v>480</v>
      </c>
      <c r="E53" s="5">
        <f>データ!$B$12*EXP(-D53/データ!$B$11)</f>
        <v/>
      </c>
    </row>
    <row r="54">
      <c r="D54" s="18" t="n">
        <v>490</v>
      </c>
      <c r="E54" s="5">
        <f>データ!$B$12*EXP(-D54/データ!$B$11)</f>
        <v/>
      </c>
    </row>
    <row r="55">
      <c r="D55" s="18" t="n">
        <v>500</v>
      </c>
      <c r="E55" s="5">
        <f>データ!$B$12*EXP(-D55/データ!$B$11)</f>
        <v/>
      </c>
    </row>
    <row r="56">
      <c r="D56" s="18" t="n">
        <v>510</v>
      </c>
      <c r="E56" s="5">
        <f>データ!$B$12*EXP(-D56/データ!$B$11)</f>
        <v/>
      </c>
    </row>
    <row r="57">
      <c r="D57" s="18" t="n">
        <v>520</v>
      </c>
      <c r="E57" s="5">
        <f>データ!$B$12*EXP(-D57/データ!$B$11)</f>
        <v/>
      </c>
    </row>
    <row r="58">
      <c r="D58" s="18" t="n">
        <v>530</v>
      </c>
      <c r="E58" s="5">
        <f>データ!$B$12*EXP(-D58/データ!$B$11)</f>
        <v/>
      </c>
    </row>
  </sheetData>
  <mergeCells count="5">
    <mergeCell ref="H15:J15"/>
    <mergeCell ref="H16:J16"/>
    <mergeCell ref="H14:J14"/>
    <mergeCell ref="H13:J13"/>
    <mergeCell ref="H12:J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36" customWidth="1" min="12" max="12"/>
  </cols>
  <sheetData>
    <row r="1">
      <c r="A1" s="1" t="inlineStr">
        <is>
          <t>等価コンクリート減衰（図11）</t>
        </is>
      </c>
    </row>
    <row r="2">
      <c r="A2" s="10" t="inlineStr">
        <is>
          <t>定数・測定値は数値入力。CPS・相対・X・t_eq・理論は数式。グラフは「グラフ」シート。</t>
        </is>
      </c>
    </row>
    <row r="4">
      <c r="A4" s="11" t="inlineStr">
        <is>
          <t>定数</t>
        </is>
      </c>
    </row>
    <row r="5">
      <c r="A5" s="3" t="inlineStr">
        <is>
          <t>記号</t>
        </is>
      </c>
      <c r="B5" s="3" t="inlineStr">
        <is>
          <t>値</t>
        </is>
      </c>
      <c r="C5" s="3" t="inlineStr">
        <is>
          <t>単位</t>
        </is>
      </c>
      <c r="D5" s="3" t="inlineStr">
        <is>
          <t>説明</t>
        </is>
      </c>
    </row>
    <row r="6">
      <c r="A6" s="6" t="inlineStr">
        <is>
          <t>rho_c</t>
        </is>
      </c>
      <c r="B6" s="12" t="n">
        <v>2.3</v>
      </c>
      <c r="C6" s="13" t="inlineStr">
        <is>
          <t>g/cm3</t>
        </is>
      </c>
      <c r="D6" s="6" t="inlineStr">
        <is>
          <t>コンクリート密度</t>
        </is>
      </c>
    </row>
    <row r="7">
      <c r="A7" s="6" t="inlineStr">
        <is>
          <t>rho_loam</t>
        </is>
      </c>
      <c r="B7" s="12" t="n">
        <v>1.35</v>
      </c>
      <c r="C7" s="13" t="inlineStr">
        <is>
          <t>g/cm3</t>
        </is>
      </c>
      <c r="D7" s="6" t="inlineStr">
        <is>
          <t>関東ローム</t>
        </is>
      </c>
    </row>
    <row r="8">
      <c r="A8" s="6" t="inlineStr">
        <is>
          <t>rho_joso</t>
        </is>
      </c>
      <c r="B8" s="12" t="n">
        <v>1.65</v>
      </c>
      <c r="C8" s="13" t="inlineStr">
        <is>
          <t>g/cm3</t>
        </is>
      </c>
      <c r="D8" s="6" t="inlineStr">
        <is>
          <t>常総粘土</t>
        </is>
      </c>
    </row>
    <row r="9">
      <c r="A9" s="6" t="inlineStr">
        <is>
          <t>loam_max</t>
        </is>
      </c>
      <c r="B9" s="14" t="n">
        <v>400</v>
      </c>
      <c r="C9" s="13" t="inlineStr">
        <is>
          <t>cm</t>
        </is>
      </c>
      <c r="D9" s="6" t="inlineStr">
        <is>
          <t>ローム上限 4m</t>
        </is>
      </c>
    </row>
    <row r="10">
      <c r="A10" s="6" t="inlineStr">
        <is>
          <t>lambda_m</t>
        </is>
      </c>
      <c r="B10" s="12" t="n">
        <v>0.77</v>
      </c>
      <c r="C10" s="13" t="inlineStr">
        <is>
          <t>m</t>
        </is>
      </c>
      <c r="D10" s="6" t="inlineStr">
        <is>
          <t>理論の減衰長</t>
        </is>
      </c>
    </row>
    <row r="11">
      <c r="A11" s="6" t="inlineStr">
        <is>
          <t>lambda_cm</t>
        </is>
      </c>
      <c r="B11" s="12">
        <f>B10*100</f>
        <v/>
      </c>
      <c r="C11" s="13" t="inlineStr">
        <is>
          <t>cm</t>
        </is>
      </c>
      <c r="D11" s="6" t="inlineStr">
        <is>
          <t>lambda_m×100</t>
        </is>
      </c>
    </row>
    <row r="12">
      <c r="A12" s="6" t="inlineStr">
        <is>
          <t>A0</t>
        </is>
      </c>
      <c r="B12" s="12" t="n">
        <v>1</v>
      </c>
      <c r="C12" s="13" t="inlineStr">
        <is>
          <t>-</t>
        </is>
      </c>
      <c r="D12" s="6" t="inlineStr">
        <is>
          <t>規格化</t>
        </is>
      </c>
    </row>
    <row r="13">
      <c r="A13" s="6" t="inlineStr">
        <is>
          <t>lambda_air_m</t>
        </is>
      </c>
      <c r="B13" s="14" t="n">
        <v>1475</v>
      </c>
      <c r="C13" s="13" t="inlineStr">
        <is>
          <t>m</t>
        </is>
      </c>
      <c r="D13" s="6" t="inlineStr">
        <is>
          <t>空気の減衰長</t>
        </is>
      </c>
    </row>
    <row r="14">
      <c r="A14" s="6" t="inlineStr">
        <is>
          <t>lambda_air_cm</t>
        </is>
      </c>
      <c r="B14" s="12">
        <f>B13*100</f>
        <v/>
      </c>
      <c r="C14" s="13" t="inlineStr">
        <is>
          <t>cm</t>
        </is>
      </c>
      <c r="D14" s="6" t="inlineStr">
        <is>
          <t>空気の減衰長[cm]</t>
        </is>
      </c>
    </row>
    <row r="16">
      <c r="A16" s="11" t="inlineStr">
        <is>
          <t>測定点</t>
        </is>
      </c>
    </row>
    <row r="17">
      <c r="A17" s="3" t="inlineStr">
        <is>
          <t>地点</t>
        </is>
      </c>
      <c r="B17" s="3" t="inlineStr">
        <is>
          <t>分子</t>
        </is>
      </c>
      <c r="C17" s="3" t="inlineStr">
        <is>
          <t>分母</t>
        </is>
      </c>
      <c r="D17" s="3" t="inlineStr">
        <is>
          <t>CPS</t>
        </is>
      </c>
      <c r="E17" s="3" t="inlineStr">
        <is>
          <t>相対</t>
        </is>
      </c>
      <c r="F17" s="3" t="inlineStr">
        <is>
          <t>土[cm]</t>
        </is>
      </c>
      <c r="G17" s="3" t="inlineStr">
        <is>
          <t>コンクリ[cm]</t>
        </is>
      </c>
      <c r="H17" s="3" t="inlineStr">
        <is>
          <t>X[g/cm2]</t>
        </is>
      </c>
      <c r="I17" s="3" t="inlineStr">
        <is>
          <t>t_eq[cm]</t>
        </is>
      </c>
      <c r="J17" s="3" t="inlineStr">
        <is>
          <t>x[m]</t>
        </is>
      </c>
      <c r="K17" s="3" t="inlineStr">
        <is>
          <t>理論A</t>
        </is>
      </c>
      <c r="L17" s="3" t="inlineStr">
        <is>
          <t>ラベル</t>
        </is>
      </c>
    </row>
    <row r="18" ht="30" customHeight="1">
      <c r="A18" s="15" t="inlineStr">
        <is>
          <t>地上</t>
        </is>
      </c>
      <c r="B18" s="14" t="n">
        <v>2495</v>
      </c>
      <c r="C18" s="12" t="n">
        <v>4751.06</v>
      </c>
      <c r="D18" s="20">
        <f>B18/C18</f>
        <v/>
      </c>
      <c r="E18" s="5">
        <f>D18/$D$18</f>
        <v/>
      </c>
      <c r="F18" s="18" t="n">
        <v>0</v>
      </c>
      <c r="G18" s="18" t="n">
        <v>0</v>
      </c>
      <c r="H18" s="12">
        <f>G18*$B$6+MIN(F18,$B$9)*$B$7+MAX(0,F18-$B$9)*$B$8</f>
        <v/>
      </c>
      <c r="I18" s="18">
        <f>H18/$B$6</f>
        <v/>
      </c>
      <c r="J18" s="19">
        <f>I18/100</f>
        <v/>
      </c>
      <c r="K18" s="5">
        <f>$B$12*EXP(-J18/$B$10)</f>
        <v/>
      </c>
      <c r="L18" s="6">
        <f>A18&amp;"  相対"&amp;TEXT(E18,"0.000")&amp;CHAR(10)&amp;"（実測CPS "&amp;TEXT(D18,"0.0000")&amp;"）"</f>
        <v/>
      </c>
    </row>
    <row r="19" ht="30" customHeight="1">
      <c r="A19" s="6" t="inlineStr">
        <is>
          <t>PF</t>
        </is>
      </c>
      <c r="B19" s="14" t="n">
        <v>11485</v>
      </c>
      <c r="C19" s="12" t="n">
        <v>45741.27</v>
      </c>
      <c r="D19" s="20">
        <f>B19/C19</f>
        <v/>
      </c>
      <c r="E19" s="5">
        <f>D19/$D$18</f>
        <v/>
      </c>
      <c r="F19" s="18" t="n">
        <v>0</v>
      </c>
      <c r="G19" s="18" t="n">
        <v>105</v>
      </c>
      <c r="H19" s="12">
        <f>G19*$B$6+MIN(F19,$B$9)*$B$7+MAX(0,F19-$B$9)*$B$8</f>
        <v/>
      </c>
      <c r="I19" s="18">
        <f>H19/$B$6</f>
        <v/>
      </c>
      <c r="J19" s="19">
        <f>I19/100</f>
        <v/>
      </c>
      <c r="K19" s="5">
        <f>$B$12*EXP(-J19/$B$10)</f>
        <v/>
      </c>
      <c r="L19" s="6">
        <f>A19&amp;"  相対"&amp;TEXT(E19,"0.000")&amp;CHAR(10)&amp;"（実測CPS "&amp;TEXT(D19,"0.0000")&amp;"）"</f>
        <v/>
      </c>
    </row>
    <row r="20" ht="30" customHeight="1">
      <c r="A20" s="6" t="inlineStr">
        <is>
          <t>linac</t>
        </is>
      </c>
      <c r="B20" s="14" t="n">
        <v>273</v>
      </c>
      <c r="C20" s="12" t="n">
        <v>4213.67</v>
      </c>
      <c r="D20" s="20">
        <f>B20/C20</f>
        <v/>
      </c>
      <c r="E20" s="5">
        <f>D20/$D$18</f>
        <v/>
      </c>
      <c r="F20" s="18" t="n">
        <v>0</v>
      </c>
      <c r="G20" s="18" t="n">
        <v>150</v>
      </c>
      <c r="H20" s="12">
        <f>G20*$B$6+MIN(F20,$B$9)*$B$7+MAX(0,F20-$B$9)*$B$8</f>
        <v/>
      </c>
      <c r="I20" s="18">
        <f>H20/$B$6</f>
        <v/>
      </c>
      <c r="J20" s="19">
        <f>I20/100</f>
        <v/>
      </c>
      <c r="K20" s="5">
        <f>$B$12*EXP(-J20/$B$10)</f>
        <v/>
      </c>
      <c r="L20" s="6">
        <f>A20&amp;"  相対"&amp;TEXT(E20,"0.000")&amp;CHAR(10)&amp;"（実測CPS "&amp;TEXT(D20,"0.0000")&amp;"）"</f>
        <v/>
      </c>
    </row>
    <row r="21" ht="30" customHeight="1">
      <c r="A21" s="6" t="inlineStr">
        <is>
          <t>BT</t>
        </is>
      </c>
      <c r="B21" s="14" t="n">
        <v>1101</v>
      </c>
      <c r="C21" s="12" t="n">
        <v>9594.209999999999</v>
      </c>
      <c r="D21" s="20">
        <f>B21/C21</f>
        <v/>
      </c>
      <c r="E21" s="5">
        <f>D21/$D$18</f>
        <v/>
      </c>
      <c r="F21" s="18" t="n">
        <v>220</v>
      </c>
      <c r="G21" s="18" t="n">
        <v>60</v>
      </c>
      <c r="H21" s="12">
        <f>G21*$B$6+MIN(F21,$B$9)*$B$7+MAX(0,F21-$B$9)*$B$8</f>
        <v/>
      </c>
      <c r="I21" s="18">
        <f>H21/$B$6</f>
        <v/>
      </c>
      <c r="J21" s="19">
        <f>I21/100</f>
        <v/>
      </c>
      <c r="K21" s="5">
        <f>$B$12*EXP(-J21/$B$10)</f>
        <v/>
      </c>
      <c r="L21" s="6">
        <f>A21&amp;"  相対"&amp;TEXT(E21,"0.000")&amp;CHAR(10)&amp;"（実測CPS "&amp;TEXT(D21,"0.0000")&amp;"）"</f>
        <v/>
      </c>
    </row>
    <row r="22" ht="30" customHeight="1">
      <c r="A22" s="6" t="inlineStr">
        <is>
          <t>KEKB</t>
        </is>
      </c>
      <c r="B22" s="14" t="n">
        <v>1559</v>
      </c>
      <c r="C22" s="12" t="n">
        <v>39040.98</v>
      </c>
      <c r="D22" s="20">
        <f>B22/C22</f>
        <v/>
      </c>
      <c r="E22" s="5">
        <f>D22/$D$18</f>
        <v/>
      </c>
      <c r="F22" s="18" t="n">
        <v>670</v>
      </c>
      <c r="G22" s="18" t="n">
        <v>80</v>
      </c>
      <c r="H22" s="12">
        <f>G22*$B$6+MIN(F22,$B$9)*$B$7+MAX(0,F22-$B$9)*$B$8</f>
        <v/>
      </c>
      <c r="I22" s="18">
        <f>H22/$B$6</f>
        <v/>
      </c>
      <c r="J22" s="19">
        <f>I22/100</f>
        <v/>
      </c>
      <c r="K22" s="5">
        <f>$B$12*EXP(-J22/$B$10)</f>
        <v/>
      </c>
      <c r="L22" s="6">
        <f>A22&amp;"  相対"&amp;TEXT(E22,"0.000")&amp;CHAR(10)&amp;"（実測CPS "&amp;TEXT(D22,"0.0000")&amp;"）"</f>
        <v/>
      </c>
    </row>
    <row r="24">
      <c r="A24" s="11" t="inlineStr">
        <is>
          <t>数式</t>
        </is>
      </c>
    </row>
    <row r="25">
      <c r="A25" s="17" t="inlineStr">
        <is>
          <t>CPS = 分子/分母</t>
        </is>
      </c>
    </row>
    <row r="26">
      <c r="A26" s="17" t="inlineStr">
        <is>
          <t>相対 = CPS / 地上CPS</t>
        </is>
      </c>
    </row>
    <row r="27">
      <c r="A27" s="17" t="inlineStr">
        <is>
          <t>X = コンクリ×rho_c + MIN(土,400)×rho_loam + MAX(0,土-400)×rho_joso</t>
        </is>
      </c>
    </row>
    <row r="28">
      <c r="A28" s="17" t="inlineStr">
        <is>
          <t>t_eq[cm] = X / rho_c</t>
        </is>
      </c>
    </row>
    <row r="29">
      <c r="A29" s="17" t="inlineStr">
        <is>
          <t>理論A = A0 × EXP(-x[m] / lambda_m)   （図の A0·e^(-x/0.77)）</t>
        </is>
      </c>
    </row>
  </sheetData>
  <mergeCells count="5">
    <mergeCell ref="A26:H26"/>
    <mergeCell ref="A29:H29"/>
    <mergeCell ref="A25:H25"/>
    <mergeCell ref="A28:H28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2026-08-20T21:43:01Z</dcterms:created>
  <dcterms:modified xsi:type="dcterms:W3CDTF">2026-08-20T21:43:11Z</dcterms:modified>
</cp:coreProperties>
</file>