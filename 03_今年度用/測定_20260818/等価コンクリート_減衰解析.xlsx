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パラメータ" sheetId="2" state="visible" r:id="rId2"/>
    <sheet name="測定点" sheetId="3" state="visible" r:id="rId3"/>
    <sheet name="減衰曲線" sheetId="4" state="visible" r:id="rId4"/>
    <sheet name="解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000000"/>
    <numFmt numFmtId="167" formatCode="0.000000"/>
    <numFmt numFmtId="168" formatCode="0.0000"/>
  </numFmts>
  <fonts count="13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1"/>
    </font>
    <font>
      <b val="1"/>
      <sz val="13"/>
    </font>
    <font>
      <b val="1"/>
      <color rgb="00FFFFFF"/>
      <sz val="11"/>
    </font>
    <font>
      <sz val="11"/>
    </font>
    <font>
      <color rgb="00E67E22"/>
      <sz val="10"/>
    </font>
    <font>
      <color rgb="00666666"/>
      <sz val="10"/>
    </font>
    <font>
      <b val="1"/>
      <color rgb="001F4E79"/>
      <sz val="16"/>
    </font>
    <font>
      <b val="1"/>
      <sz val="11"/>
    </font>
    <font>
      <b val="1"/>
      <sz val="12"/>
    </font>
    <font>
      <name val="Menlo"/>
      <sz val="11"/>
    </font>
    <font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2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9" fillId="3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相対CPSと理論減衰 A=A0·EXP(-x/77)（x [cm]）</a:t>
            </a:r>
          </a:p>
        </rich>
      </tx>
    </title>
    <plotArea>
      <scatterChart>
        <ser>
          <idx val="0"/>
          <order val="0"/>
          <tx>
            <v>理論 A=A0·EXP(-x/77)</v>
          </tx>
          <spPr>
            <a:ln w="25000">
              <a:solidFill>
                <a:srgbClr val="6666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'減衰曲線'!$A$5:$A$55</f>
            </numRef>
          </xVal>
          <yVal>
            <numRef>
              <f>'減衰曲線'!$C$5:$C$55</f>
            </numRef>
          </yVal>
        </ser>
        <ser>
          <idx val="1"/>
          <order val="1"/>
          <tx>
            <v>地上</v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222222"/>
              </a:solidFill>
              <a:ln>
                <a:solidFill>
                  <a:srgbClr val="222222"/>
                </a:solidFill>
                <a:prstDash val="solid"/>
              </a:ln>
            </spPr>
          </marker>
          <xVal>
            <numRef>
              <f>'減衰曲線'!$G$5</f>
            </numRef>
          </xVal>
          <yVal>
            <numRef>
              <f>'減衰曲線'!$I$5</f>
            </numRef>
          </yVal>
        </ser>
        <ser>
          <idx val="2"/>
          <order val="2"/>
          <tx>
            <v>PF</v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'減衰曲線'!$G$6</f>
            </numRef>
          </xVal>
          <yVal>
            <numRef>
              <f>'減衰曲線'!$I$6</f>
            </numRef>
          </yVal>
        </ser>
        <ser>
          <idx val="3"/>
          <order val="3"/>
          <tx>
            <v>linac</v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'減衰曲線'!$G$7</f>
            </numRef>
          </xVal>
          <yVal>
            <numRef>
              <f>'減衰曲線'!$I$7</f>
            </numRef>
          </yVal>
        </ser>
        <ser>
          <idx val="4"/>
          <order val="4"/>
          <tx>
            <v>BT</v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'減衰曲線'!$G$8</f>
            </numRef>
          </xVal>
          <yVal>
            <numRef>
              <f>'減衰曲線'!$I$8</f>
            </numRef>
          </yVal>
        </ser>
        <ser>
          <idx val="5"/>
          <order val="5"/>
          <tx>
            <v>KEKB</v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'減衰曲線'!$G$9</f>
            </numRef>
          </xVal>
          <yVal>
            <numRef>
              <f>'減衰曲線'!$I$9</f>
            </numRef>
          </yVal>
        </ser>
        <axId val="10"/>
        <axId val="20"/>
      </scatterChart>
      <valAx>
        <axId val="10"/>
        <scaling>
          <orientation val="minMax"/>
          <max val="550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等価コンクリート厚さ [cm]</a:t>
                </a:r>
              </a:p>
            </rich>
          </tx>
        </title>
        <numFmt formatCode="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20"/>
        <majorUnit val="50"/>
        <minorUnit val="25"/>
      </valAx>
      <valAx>
        <axId val="20"/>
        <scaling>
          <orientation val="minMax"/>
          <max val="1.2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相対 CPS（地上 = 1）</a:t>
                </a:r>
              </a:p>
            </rich>
          </tx>
        </title>
        <numFmt formatCode="0.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  <majorUnit val="0.1"/>
        <minorUnit val="0.0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7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図11 等価コンクリート減衰 — 解析ブック</t>
        </is>
      </c>
    </row>
    <row r="2">
      <c r="A2" s="2" t="inlineStr">
        <is>
          <t>黄色=入力 / 水色=数式。グラフは「減衰曲線」シート上部。</t>
        </is>
      </c>
    </row>
    <row r="4">
      <c r="A4" s="3" t="inlineStr">
        <is>
          <t>主結果（測定点シートへの参照）</t>
        </is>
      </c>
    </row>
    <row r="5" ht="28" customHeight="1">
      <c r="A5" s="4" t="inlineStr">
        <is>
          <t>地点</t>
        </is>
      </c>
      <c r="B5" s="4" t="inlineStr">
        <is>
          <t>X</t>
        </is>
      </c>
      <c r="C5" s="4" t="inlineStr">
        <is>
          <t>t_eq[cm]</t>
        </is>
      </c>
      <c r="D5" s="4" t="inlineStr">
        <is>
          <t>相対</t>
        </is>
      </c>
      <c r="E5" s="4" t="inlineStr">
        <is>
          <t>理論</t>
        </is>
      </c>
      <c r="F5" s="4" t="inlineStr">
        <is>
          <t>残差</t>
        </is>
      </c>
    </row>
    <row r="6">
      <c r="A6" s="5">
        <f>測定点!A5</f>
        <v/>
      </c>
      <c r="B6" s="6">
        <f>測定点!D5</f>
        <v/>
      </c>
      <c r="C6" s="7">
        <f>測定点!G5</f>
        <v/>
      </c>
      <c r="D6" s="8">
        <f>測定点!F5</f>
        <v/>
      </c>
      <c r="E6" s="8">
        <f>測定点!H5</f>
        <v/>
      </c>
      <c r="F6" s="8">
        <f>測定点!I5</f>
        <v/>
      </c>
    </row>
    <row r="7">
      <c r="A7" s="9">
        <f>測定点!A6</f>
        <v/>
      </c>
      <c r="B7" s="10">
        <f>測定点!D6</f>
        <v/>
      </c>
      <c r="C7" s="11">
        <f>測定点!G6</f>
        <v/>
      </c>
      <c r="D7" s="12">
        <f>測定点!F6</f>
        <v/>
      </c>
      <c r="E7" s="12">
        <f>測定点!H6</f>
        <v/>
      </c>
      <c r="F7" s="12">
        <f>測定点!I6</f>
        <v/>
      </c>
    </row>
    <row r="8">
      <c r="A8" s="9">
        <f>測定点!A7</f>
        <v/>
      </c>
      <c r="B8" s="10">
        <f>測定点!D7</f>
        <v/>
      </c>
      <c r="C8" s="11">
        <f>測定点!G7</f>
        <v/>
      </c>
      <c r="D8" s="12">
        <f>測定点!F7</f>
        <v/>
      </c>
      <c r="E8" s="12">
        <f>測定点!H7</f>
        <v/>
      </c>
      <c r="F8" s="12">
        <f>測定点!I7</f>
        <v/>
      </c>
    </row>
    <row r="9">
      <c r="A9" s="9">
        <f>測定点!A8</f>
        <v/>
      </c>
      <c r="B9" s="10">
        <f>測定点!D8</f>
        <v/>
      </c>
      <c r="C9" s="11">
        <f>測定点!G8</f>
        <v/>
      </c>
      <c r="D9" s="12">
        <f>測定点!F8</f>
        <v/>
      </c>
      <c r="E9" s="12">
        <f>測定点!H8</f>
        <v/>
      </c>
      <c r="F9" s="12">
        <f>測定点!I8</f>
        <v/>
      </c>
    </row>
    <row r="10">
      <c r="A10" s="9">
        <f>測定点!A9</f>
        <v/>
      </c>
      <c r="B10" s="10">
        <f>測定点!D9</f>
        <v/>
      </c>
      <c r="C10" s="11">
        <f>測定点!G9</f>
        <v/>
      </c>
      <c r="D10" s="12">
        <f>測定点!F9</f>
        <v/>
      </c>
      <c r="E10" s="12">
        <f>測定点!H9</f>
        <v/>
      </c>
      <c r="F10" s="12">
        <f>測定点!I9</f>
        <v/>
      </c>
    </row>
    <row r="12">
      <c r="A12" s="13" t="inlineStr">
        <is>
          <t>開けない原因だったもの: 説明列に λ を含む不正数式 (=A0*EXP(-x/λ)) が入っていた。</t>
        </is>
      </c>
    </row>
    <row r="13">
      <c r="A13" s="14" t="inlineStr">
        <is>
          <t>PNG: 11_全地点_等価コンクリート.png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8" customWidth="1" min="4" max="4"/>
  </cols>
  <sheetData>
    <row r="1">
      <c r="A1" s="15" t="inlineStr">
        <is>
          <t>定数（黄色=入力。他シートの数式が参照）</t>
        </is>
      </c>
    </row>
    <row r="2">
      <c r="A2" s="2" t="inlineStr">
        <is>
          <t>水色=数式。説明は文字列（先頭を = にしない）。</t>
        </is>
      </c>
    </row>
    <row r="4" ht="28" customHeight="1">
      <c r="A4" s="4" t="inlineStr">
        <is>
          <t>記号</t>
        </is>
      </c>
      <c r="B4" s="4" t="inlineStr">
        <is>
          <t>値</t>
        </is>
      </c>
      <c r="C4" s="4" t="inlineStr">
        <is>
          <t>単位</t>
        </is>
      </c>
      <c r="D4" s="4" t="inlineStr">
        <is>
          <t>説明</t>
        </is>
      </c>
    </row>
    <row r="5">
      <c r="A5" s="16" t="inlineStr">
        <is>
          <t>A0</t>
        </is>
      </c>
      <c r="B5" s="17" t="n">
        <v>1</v>
      </c>
      <c r="C5" s="18" t="inlineStr">
        <is>
          <t>-</t>
        </is>
      </c>
      <c r="D5" s="9" t="inlineStr">
        <is>
          <t>理論の規格化</t>
        </is>
      </c>
    </row>
    <row r="6">
      <c r="A6" s="16" t="inlineStr">
        <is>
          <t>lambda_cm</t>
        </is>
      </c>
      <c r="B6" s="19" t="n">
        <v>77</v>
      </c>
      <c r="C6" s="18" t="inlineStr">
        <is>
          <t>cm</t>
        </is>
      </c>
      <c r="D6" s="9" t="inlineStr">
        <is>
          <t>A=A0*EXP(-x/lambda_cm), x is t_eq [cm]</t>
        </is>
      </c>
    </row>
    <row r="7">
      <c r="A7" s="16" t="inlineStr">
        <is>
          <t>lambda_m</t>
        </is>
      </c>
      <c r="B7" s="20">
        <f>B6/100</f>
        <v/>
      </c>
      <c r="C7" s="18" t="inlineStr">
        <is>
          <t>m</t>
        </is>
      </c>
      <c r="D7" s="9" t="inlineStr">
        <is>
          <t>lambda_cm / 100 (=0.77 m)</t>
        </is>
      </c>
    </row>
    <row r="8">
      <c r="A8" s="16" t="inlineStr">
        <is>
          <t>rho_c</t>
        </is>
      </c>
      <c r="B8" s="17" t="n">
        <v>2.3</v>
      </c>
      <c r="C8" s="18" t="inlineStr">
        <is>
          <t>g/cm3</t>
        </is>
      </c>
      <c r="D8" s="9" t="inlineStr">
        <is>
          <t>concrete density</t>
        </is>
      </c>
    </row>
    <row r="9">
      <c r="A9" s="16" t="inlineStr">
        <is>
          <t>rho_loam</t>
        </is>
      </c>
      <c r="B9" s="17" t="n">
        <v>1.35</v>
      </c>
      <c r="C9" s="18" t="inlineStr">
        <is>
          <t>g/cm3</t>
        </is>
      </c>
      <c r="D9" s="9" t="inlineStr">
        <is>
          <t>Kanto loam</t>
        </is>
      </c>
    </row>
    <row r="10">
      <c r="A10" s="16" t="inlineStr">
        <is>
          <t>rho_joso</t>
        </is>
      </c>
      <c r="B10" s="17" t="n">
        <v>1.65</v>
      </c>
      <c r="C10" s="18" t="inlineStr">
        <is>
          <t>g/cm3</t>
        </is>
      </c>
      <c r="D10" s="9" t="inlineStr">
        <is>
          <t>Joso clay</t>
        </is>
      </c>
    </row>
    <row r="11">
      <c r="A11" s="16" t="inlineStr">
        <is>
          <t>loam_max</t>
        </is>
      </c>
      <c r="B11" s="19" t="n">
        <v>400</v>
      </c>
      <c r="C11" s="18" t="inlineStr">
        <is>
          <t>cm</t>
        </is>
      </c>
      <c r="D11" s="9" t="inlineStr">
        <is>
          <t>loam / joso boundary</t>
        </is>
      </c>
    </row>
    <row r="12">
      <c r="A12" s="16" t="inlineStr">
        <is>
          <t>lambda_air</t>
        </is>
      </c>
      <c r="B12" s="19" t="n">
        <v>1475</v>
      </c>
      <c r="C12" s="18" t="inlineStr">
        <is>
          <t>m</t>
        </is>
      </c>
      <c r="D12" s="9" t="inlineStr">
        <is>
          <t>air (reference)</t>
        </is>
      </c>
    </row>
    <row r="13">
      <c r="A13" s="16" t="inlineStr">
        <is>
          <t>CPS0</t>
        </is>
      </c>
      <c r="B13" s="21">
        <f>測定点!E5</f>
        <v/>
      </c>
      <c r="C13" s="18" t="inlineStr">
        <is>
          <t>1/s</t>
        </is>
      </c>
      <c r="D13" s="9" t="inlineStr">
        <is>
          <t>ground CPS (linked)</t>
        </is>
      </c>
    </row>
    <row r="15">
      <c r="A15" s="22" t="inlineStr">
        <is>
          <t>数式の書き方（文字列・コピー用）</t>
        </is>
      </c>
    </row>
    <row r="16">
      <c r="A16" s="23" t="inlineStr">
        <is>
          <t>相対: =E5/パラメータ!$B$13</t>
        </is>
      </c>
    </row>
    <row r="17">
      <c r="A17" s="23" t="inlineStr">
        <is>
          <t>t_eq: =D5/パラメータ!$B$8</t>
        </is>
      </c>
    </row>
    <row r="18">
      <c r="A18" s="23" t="inlineStr">
        <is>
          <t>理論: =パラメータ!$B$5*EXP(-G5/パラメータ!$B$6)   ※ G5=t_eq[cm], B6=lambda_cm</t>
        </is>
      </c>
    </row>
    <row r="19">
      <c r="A19" s="23" t="inlineStr">
        <is>
          <t>曲線: =パラメータ!$B$5*EXP(-A5/パラメータ!$B$6)   ※ A5=t_eq[cm]</t>
        </is>
      </c>
    </row>
  </sheetData>
  <mergeCells count="4">
    <mergeCell ref="A19:D19"/>
    <mergeCell ref="A17:D17"/>
    <mergeCell ref="A18:D18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32" customWidth="1" min="11" max="11"/>
  </cols>
  <sheetData>
    <row r="1">
      <c r="A1" s="15" t="inlineStr">
        <is>
          <t>測定点（黄色=入力、水色=数式）</t>
        </is>
      </c>
    </row>
    <row r="2">
      <c r="A2" s="14" t="inlineStr">
        <is>
          <t>理論セル例: =パラメータ!$B$5*EXP(-G5/パラメータ!$B$6)  （G=t_eq[cm], B6=lambda=77cm）</t>
        </is>
      </c>
    </row>
    <row r="4" ht="28" customHeight="1">
      <c r="A4" s="4" t="inlineStr">
        <is>
          <t>地点</t>
        </is>
      </c>
      <c r="B4" s="4" t="inlineStr">
        <is>
          <t>t_c [cm]</t>
        </is>
      </c>
      <c r="C4" s="4" t="inlineStr">
        <is>
          <t>t_soil [cm]</t>
        </is>
      </c>
      <c r="D4" s="4" t="inlineStr">
        <is>
          <t>X [g/cm2]</t>
        </is>
      </c>
      <c r="E4" s="4" t="inlineStr">
        <is>
          <t>CPS</t>
        </is>
      </c>
      <c r="F4" s="4" t="inlineStr">
        <is>
          <t>相対</t>
        </is>
      </c>
      <c r="G4" s="4" t="inlineStr">
        <is>
          <t>t_eq [cm]</t>
        </is>
      </c>
      <c r="H4" s="4" t="inlineStr">
        <is>
          <t>理論A</t>
        </is>
      </c>
      <c r="I4" s="4" t="inlineStr">
        <is>
          <t>相対-理論</t>
        </is>
      </c>
      <c r="J4" s="4" t="inlineStr">
        <is>
          <t>備考</t>
        </is>
      </c>
    </row>
    <row r="5">
      <c r="A5" s="24" t="inlineStr">
        <is>
          <t>地上</t>
        </is>
      </c>
      <c r="B5" s="19" t="n">
        <v>0</v>
      </c>
      <c r="C5" s="19" t="n">
        <v>0</v>
      </c>
      <c r="D5" s="20">
        <f>B5*パラメータ!$B$8+MIN(C5,パラメータ!$B$11)*パラメータ!$B$9+MAX(0,C5-パラメータ!$B$11)*パラメータ!$B$10</f>
        <v/>
      </c>
      <c r="E5" s="25" t="n">
        <v>0.52514597</v>
      </c>
      <c r="F5" s="26">
        <f>E5/パラメータ!$B$13</f>
        <v/>
      </c>
      <c r="G5" s="27">
        <f>D5/パラメータ!$B$8</f>
        <v/>
      </c>
      <c r="H5" s="26">
        <f>パラメータ!$B$5*EXP(-G5/パラメータ!$B$6)</f>
        <v/>
      </c>
      <c r="I5" s="26">
        <f>F5-H5</f>
        <v/>
      </c>
      <c r="J5" s="9" t="inlineStr">
        <is>
          <t>基準（屋外）</t>
        </is>
      </c>
    </row>
    <row r="6">
      <c r="A6" s="9" t="inlineStr">
        <is>
          <t>PF</t>
        </is>
      </c>
      <c r="B6" s="19" t="n">
        <v>105</v>
      </c>
      <c r="C6" s="19" t="n">
        <v>0</v>
      </c>
      <c r="D6" s="20">
        <f>B6*パラメータ!$B$8+MIN(C6,パラメータ!$B$11)*パラメータ!$B$9+MAX(0,C6-パラメータ!$B$11)*パラメータ!$B$10</f>
        <v/>
      </c>
      <c r="E6" s="25" t="n">
        <v>0.25108616</v>
      </c>
      <c r="F6" s="26">
        <f>E6/パラメータ!$B$13</f>
        <v/>
      </c>
      <c r="G6" s="27">
        <f>D6/パラメータ!$B$8</f>
        <v/>
      </c>
      <c r="H6" s="26">
        <f>パラメータ!$B$5*EXP(-G6/パラメータ!$B$6)</f>
        <v/>
      </c>
      <c r="I6" s="26">
        <f>F6-H6</f>
        <v/>
      </c>
      <c r="J6" s="9" t="inlineStr">
        <is>
          <t>X=241.50</t>
        </is>
      </c>
    </row>
    <row r="7">
      <c r="A7" s="9" t="inlineStr">
        <is>
          <t>linac</t>
        </is>
      </c>
      <c r="B7" s="19" t="n">
        <v>150</v>
      </c>
      <c r="C7" s="19" t="n">
        <v>0</v>
      </c>
      <c r="D7" s="20">
        <f>B7*パラメータ!$B$8+MIN(C7,パラメータ!$B$11)*パラメータ!$B$9+MAX(0,C7-パラメータ!$B$11)*パラメータ!$B$10</f>
        <v/>
      </c>
      <c r="E7" s="25" t="n">
        <v>0.06478913</v>
      </c>
      <c r="F7" s="26">
        <f>E7/パラメータ!$B$13</f>
        <v/>
      </c>
      <c r="G7" s="27">
        <f>D7/パラメータ!$B$8</f>
        <v/>
      </c>
      <c r="H7" s="26">
        <f>パラメータ!$B$5*EXP(-G7/パラメータ!$B$6)</f>
        <v/>
      </c>
      <c r="I7" s="26">
        <f>F7-H7</f>
        <v/>
      </c>
      <c r="J7" s="9" t="inlineStr">
        <is>
          <t>X=345.00</t>
        </is>
      </c>
    </row>
    <row r="8">
      <c r="A8" s="9" t="inlineStr">
        <is>
          <t>BT</t>
        </is>
      </c>
      <c r="B8" s="19" t="n">
        <v>60</v>
      </c>
      <c r="C8" s="19" t="n">
        <v>220</v>
      </c>
      <c r="D8" s="20">
        <f>B8*パラメータ!$B$8+MIN(C8,パラメータ!$B$11)*パラメータ!$B$9+MAX(0,C8-パラメータ!$B$11)*パラメータ!$B$10</f>
        <v/>
      </c>
      <c r="E8" s="25" t="n">
        <v>0.11475671</v>
      </c>
      <c r="F8" s="26">
        <f>E8/パラメータ!$B$13</f>
        <v/>
      </c>
      <c r="G8" s="27">
        <f>D8/パラメータ!$B$8</f>
        <v/>
      </c>
      <c r="H8" s="26">
        <f>パラメータ!$B$5*EXP(-G8/パラメータ!$B$6)</f>
        <v/>
      </c>
      <c r="I8" s="26">
        <f>F8-H8</f>
        <v/>
      </c>
      <c r="J8" s="9" t="inlineStr">
        <is>
          <t>土はロームのみ（220 cm &lt; 4 m）</t>
        </is>
      </c>
    </row>
    <row r="9">
      <c r="A9" s="9" t="inlineStr">
        <is>
          <t>KEKB</t>
        </is>
      </c>
      <c r="B9" s="19" t="n">
        <v>80</v>
      </c>
      <c r="C9" s="19" t="n">
        <v>670</v>
      </c>
      <c r="D9" s="20">
        <f>B9*パラメータ!$B$8+MIN(C9,パラメータ!$B$11)*パラメータ!$B$9+MAX(0,C9-パラメータ!$B$11)*パラメータ!$B$10</f>
        <v/>
      </c>
      <c r="E9" s="25" t="n">
        <v>0.0399324</v>
      </c>
      <c r="F9" s="26">
        <f>E9/パラメータ!$B$13</f>
        <v/>
      </c>
      <c r="G9" s="27">
        <f>D9/パラメータ!$B$8</f>
        <v/>
      </c>
      <c r="H9" s="26">
        <f>パラメータ!$B$5*EXP(-G9/パラメータ!$B$6)</f>
        <v/>
      </c>
      <c r="I9" s="26">
        <f>F9-H9</f>
        <v/>
      </c>
      <c r="J9" s="9" t="inlineStr">
        <is>
          <t>ローム4 m + 常総2.7 m（Book5の117.25は桁誤り）</t>
        </is>
      </c>
    </row>
    <row r="11">
      <c r="A11" s="2" t="inlineStr">
        <is>
          <t>密度（パラメータ参照）: コンクリ2.3 / ローム1.35 / 常総1.65、ローム上限400 cm</t>
        </is>
      </c>
    </row>
    <row r="12">
      <c r="A12" s="22" t="inlineStr">
        <is>
          <t>手計算チェック</t>
        </is>
      </c>
    </row>
    <row r="13">
      <c r="A13" s="16" t="inlineStr">
        <is>
          <t>EXP(-150/77)</t>
        </is>
      </c>
      <c r="B13" s="26">
        <f>パラメータ!$B$5*EXP(-150/パラメータ!$B$6)</f>
        <v/>
      </c>
      <c r="C13" s="28" t="inlineStr">
        <is>
          <t>linac理論</t>
        </is>
      </c>
      <c r="D13" s="26">
        <f>H7</f>
        <v/>
      </c>
    </row>
  </sheetData>
  <mergeCells count="1"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" customWidth="1" min="4" max="4"/>
    <col width="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42" customWidth="1" min="12" max="12"/>
    <col width="14" customWidth="1" min="14" max="14"/>
  </cols>
  <sheetData>
    <row r="1">
      <c r="A1" s="15" t="inlineStr">
        <is>
          <t>理論曲線と測定点（日本語グラフ）</t>
        </is>
      </c>
    </row>
    <row r="2">
      <c r="A2" s="14" t="inlineStr">
        <is>
          <t>緑列=グラフ用数値 / 水色=数式。各点の解説は右表とグラフ凡例を参照。</t>
        </is>
      </c>
    </row>
    <row r="4" ht="28" customHeight="1">
      <c r="A4" s="4" t="inlineStr">
        <is>
          <t>t_eq[cm]</t>
        </is>
      </c>
      <c r="B4" s="4" t="inlineStr">
        <is>
          <t>理論(数式)</t>
        </is>
      </c>
      <c r="C4" s="4" t="inlineStr">
        <is>
          <t>理論(値)</t>
        </is>
      </c>
      <c r="F4" s="4" t="inlineStr">
        <is>
          <t>地点</t>
        </is>
      </c>
      <c r="G4" s="4" t="inlineStr">
        <is>
          <t>x[cm]</t>
        </is>
      </c>
      <c r="H4" s="4" t="inlineStr">
        <is>
          <t>相対(数式)</t>
        </is>
      </c>
      <c r="I4" s="4" t="inlineStr">
        <is>
          <t>相対(値)</t>
        </is>
      </c>
      <c r="J4" s="4" t="inlineStr">
        <is>
          <t>理論値</t>
        </is>
      </c>
      <c r="K4" s="4" t="inlineStr">
        <is>
          <t>ラベル</t>
        </is>
      </c>
      <c r="L4" s="4" t="inlineStr">
        <is>
          <t>解説</t>
        </is>
      </c>
    </row>
    <row r="5">
      <c r="A5" s="19" t="n">
        <v>0</v>
      </c>
      <c r="B5" s="26">
        <f>パラメータ!$B$5*EXP(-A5/パラメータ!$B$6)</f>
        <v/>
      </c>
      <c r="C5" s="29" t="n">
        <v>1</v>
      </c>
      <c r="F5" s="5" t="inlineStr">
        <is>
          <t>地上</t>
        </is>
      </c>
      <c r="G5" s="7" t="n">
        <v>0</v>
      </c>
      <c r="H5" s="30">
        <f>測定点!F5</f>
        <v/>
      </c>
      <c r="I5" s="31" t="n">
        <v>1</v>
      </c>
      <c r="J5" s="31" t="n">
        <v>1</v>
      </c>
      <c r="K5" s="32" t="inlineStr">
        <is>
          <t>地上 1.000</t>
        </is>
      </c>
      <c r="L5" s="9" t="inlineStr">
        <is>
          <t>基準（屋外）。相対=1に規格化</t>
        </is>
      </c>
    </row>
    <row r="6">
      <c r="A6" s="19" t="n">
        <v>10.576348</v>
      </c>
      <c r="B6" s="26">
        <f>パラメータ!$B$5*EXP(-A6/パラメータ!$B$6)</f>
        <v/>
      </c>
      <c r="C6" s="29" t="n">
        <v>0.8716605864456096</v>
      </c>
      <c r="F6" s="9" t="inlineStr">
        <is>
          <t>PF</t>
        </is>
      </c>
      <c r="G6" s="7" t="n">
        <v>105</v>
      </c>
      <c r="H6" s="30">
        <f>測定点!F6</f>
        <v/>
      </c>
      <c r="I6" s="31" t="n">
        <v>0.4781264150232363</v>
      </c>
      <c r="J6" s="31" t="n">
        <v>0.2557291599131006</v>
      </c>
      <c r="K6" s="32" t="inlineStr">
        <is>
          <t>PF 0.478</t>
        </is>
      </c>
      <c r="L6" s="9" t="inlineStr">
        <is>
          <t>コンクリート105cm。理論より高い（屋内γ等）</t>
        </is>
      </c>
    </row>
    <row r="7">
      <c r="A7" s="19" t="n">
        <v>21.152696</v>
      </c>
      <c r="B7" s="26">
        <f>パラメータ!$B$5*EXP(-A7/パラメータ!$B$6)</f>
        <v/>
      </c>
      <c r="C7" s="29" t="n">
        <v>0.759792177962704</v>
      </c>
      <c r="F7" s="9" t="inlineStr">
        <is>
          <t>linac</t>
        </is>
      </c>
      <c r="G7" s="7" t="n">
        <v>150</v>
      </c>
      <c r="H7" s="30">
        <f>測定点!F7</f>
        <v/>
      </c>
      <c r="I7" s="31" t="n">
        <v>0.1233735641158972</v>
      </c>
      <c r="J7" s="31" t="n">
        <v>0.1425514990025999</v>
      </c>
      <c r="K7" s="32" t="inlineStr">
        <is>
          <t>linac 0.123</t>
        </is>
      </c>
      <c r="L7" s="9" t="inlineStr">
        <is>
          <t>コンクリート150cm。理論曲線に近い</t>
        </is>
      </c>
    </row>
    <row r="8">
      <c r="A8" s="19" t="n">
        <v>31.729043</v>
      </c>
      <c r="B8" s="26">
        <f>パラメータ!$B$5*EXP(-A8/パラメータ!$B$6)</f>
        <v/>
      </c>
      <c r="C8" s="29" t="n">
        <v>0.6622808954197575</v>
      </c>
      <c r="F8" s="9" t="inlineStr">
        <is>
          <t>BT</t>
        </is>
      </c>
      <c r="G8" s="7" t="n">
        <v>189.1304347826087</v>
      </c>
      <c r="H8" s="30">
        <f>測定点!F8</f>
        <v/>
      </c>
      <c r="I8" s="31" t="n">
        <v>0.2185234516795397</v>
      </c>
      <c r="J8" s="31" t="n">
        <v>0.08575684142290207</v>
      </c>
      <c r="K8" s="32" t="inlineStr">
        <is>
          <t>BT 0.219</t>
        </is>
      </c>
      <c r="L8" s="9" t="inlineStr">
        <is>
          <t>コンクリ60+土220cm。理論より高い</t>
        </is>
      </c>
    </row>
    <row r="9">
      <c r="A9" s="19" t="n">
        <v>42.305391</v>
      </c>
      <c r="B9" s="26">
        <f>パラメータ!$B$5*EXP(-A9/パラメータ!$B$6)</f>
        <v/>
      </c>
      <c r="C9" s="29" t="n">
        <v>0.5772841536933092</v>
      </c>
      <c r="F9" s="9" t="inlineStr">
        <is>
          <t>KEKB</t>
        </is>
      </c>
      <c r="G9" s="7" t="n">
        <v>508.4782608695652</v>
      </c>
      <c r="H9" s="30">
        <f>測定点!F9</f>
        <v/>
      </c>
      <c r="I9" s="31" t="n">
        <v>0.07604057210988405</v>
      </c>
      <c r="J9" s="31" t="n">
        <v>0.001355460842202139</v>
      </c>
      <c r="K9" s="32" t="inlineStr">
        <is>
          <t>KEKB 0.076</t>
        </is>
      </c>
      <c r="L9" s="9" t="inlineStr">
        <is>
          <t>コンクリ80+ローム400+常総270cm。厚いが相対は理論より高い</t>
        </is>
      </c>
    </row>
    <row r="10">
      <c r="A10" s="19" t="n">
        <v>52.881739</v>
      </c>
      <c r="B10" s="26">
        <f>パラメータ!$B$5*EXP(-A10/パラメータ!$B$6)</f>
        <v/>
      </c>
      <c r="C10" s="29" t="n">
        <v>0.5031958439540674</v>
      </c>
    </row>
    <row r="11">
      <c r="A11" s="19" t="n">
        <v>63.458087</v>
      </c>
      <c r="B11" s="26">
        <f>パラメータ!$B$5*EXP(-A11/パラメータ!$B$6)</f>
        <v/>
      </c>
      <c r="C11" s="29" t="n">
        <v>0.4386159844379958</v>
      </c>
    </row>
    <row r="12">
      <c r="A12" s="19" t="n">
        <v>74.034435</v>
      </c>
      <c r="B12" s="26">
        <f>パラメータ!$B$5*EXP(-A12/パラメータ!$B$6)</f>
        <v/>
      </c>
      <c r="C12" s="29" t="n">
        <v>0.3823242662196418</v>
      </c>
    </row>
    <row r="13">
      <c r="A13" s="19" t="n">
        <v>84.610783</v>
      </c>
      <c r="B13" s="26">
        <f>パラメータ!$B$5*EXP(-A13/パラメータ!$B$6)</f>
        <v/>
      </c>
      <c r="C13" s="29" t="n">
        <v>0.3332569941054003</v>
      </c>
    </row>
    <row r="14">
      <c r="A14" s="19" t="n">
        <v>95.18713</v>
      </c>
      <c r="B14" s="26">
        <f>パラメータ!$B$5*EXP(-A14/パラメータ!$B$6)</f>
        <v/>
      </c>
      <c r="C14" s="29" t="n">
        <v>0.2904869869190142</v>
      </c>
    </row>
    <row r="15">
      <c r="A15" s="19" t="n">
        <v>105.763478</v>
      </c>
      <c r="B15" s="26">
        <f>パラメータ!$B$5*EXP(-A15/パラメータ!$B$6)</f>
        <v/>
      </c>
      <c r="C15" s="29" t="n">
        <v>0.2532060573726461</v>
      </c>
    </row>
    <row r="16">
      <c r="A16" s="19" t="n">
        <v>116.339826</v>
      </c>
      <c r="B16" s="26">
        <f>パラメータ!$B$5*EXP(-A16/パラメータ!$B$6)</f>
        <v/>
      </c>
      <c r="C16" s="29" t="n">
        <v>0.2207097404610214</v>
      </c>
    </row>
    <row r="17">
      <c r="A17" s="19" t="n">
        <v>126.916174</v>
      </c>
      <c r="B17" s="26">
        <f>パラメータ!$B$5*EXP(-A17/パラメータ!$B$6)</f>
        <v/>
      </c>
      <c r="C17" s="29" t="n">
        <v>0.1923839818045122</v>
      </c>
    </row>
    <row r="18">
      <c r="A18" s="19" t="n">
        <v>137.492522</v>
      </c>
      <c r="B18" s="26">
        <f>パラメータ!$B$5*EXP(-A18/パラメータ!$B$6)</f>
        <v/>
      </c>
      <c r="C18" s="29" t="n">
        <v>0.1676935344024625</v>
      </c>
    </row>
    <row r="19">
      <c r="A19" s="19" t="n">
        <v>148.06887</v>
      </c>
      <c r="B19" s="26">
        <f>パラメータ!$B$5*EXP(-A19/パラメータ!$B$6)</f>
        <v/>
      </c>
      <c r="C19" s="29" t="n">
        <v>0.1461718445403875</v>
      </c>
    </row>
    <row r="20">
      <c r="A20" s="19" t="n">
        <v>158.645217</v>
      </c>
      <c r="B20" s="26">
        <f>パラメータ!$B$5*EXP(-A20/パラメータ!$B$6)</f>
        <v/>
      </c>
      <c r="C20" s="29" t="n">
        <v>0.1274122357339107</v>
      </c>
    </row>
    <row r="21">
      <c r="A21" s="19" t="n">
        <v>169.221565</v>
      </c>
      <c r="B21" s="26">
        <f>パラメータ!$B$5*EXP(-A21/パラメータ!$B$6)</f>
        <v/>
      </c>
      <c r="C21" s="29" t="n">
        <v>0.1110602241201668</v>
      </c>
    </row>
    <row r="22">
      <c r="A22" s="19" t="n">
        <v>179.797913</v>
      </c>
      <c r="B22" s="26">
        <f>パラメータ!$B$5*EXP(-A22/パラメータ!$B$6)</f>
        <v/>
      </c>
      <c r="C22" s="29" t="n">
        <v>0.09680682008736539</v>
      </c>
    </row>
    <row r="23">
      <c r="A23" s="19" t="n">
        <v>190.374261</v>
      </c>
      <c r="B23" s="26">
        <f>パラメータ!$B$5*EXP(-A23/パラメータ!$B$6)</f>
        <v/>
      </c>
      <c r="C23" s="29" t="n">
        <v>0.08438268956928754</v>
      </c>
    </row>
    <row r="24">
      <c r="A24" s="19" t="n">
        <v>200.950609</v>
      </c>
      <c r="B24" s="26">
        <f>パラメータ!$B$5*EXP(-A24/パラメータ!$B$6)</f>
        <v/>
      </c>
      <c r="C24" s="29" t="n">
        <v>0.07355306467582304</v>
      </c>
    </row>
    <row r="25">
      <c r="A25" s="19" t="n">
        <v>211.526957</v>
      </c>
      <c r="B25" s="26">
        <f>パラメータ!$B$5*EXP(-A25/パラメータ!$B$6)</f>
        <v/>
      </c>
      <c r="C25" s="29" t="n">
        <v>0.06411330749019976</v>
      </c>
    </row>
    <row r="26">
      <c r="A26" s="19" t="n">
        <v>222.103304</v>
      </c>
      <c r="B26" s="26">
        <f>パラメータ!$B$5*EXP(-A26/パラメータ!$B$6)</f>
        <v/>
      </c>
      <c r="C26" s="29" t="n">
        <v>0.05588504320587522</v>
      </c>
    </row>
    <row r="27">
      <c r="A27" s="19" t="n">
        <v>232.679652</v>
      </c>
      <c r="B27" s="26">
        <f>パラメータ!$B$5*EXP(-A27/パラメータ!$B$6)</f>
        <v/>
      </c>
      <c r="C27" s="29" t="n">
        <v>0.04871278953437142</v>
      </c>
    </row>
    <row r="28">
      <c r="A28" s="19" t="n">
        <v>243.256</v>
      </c>
      <c r="B28" s="26">
        <f>パラメータ!$B$5*EXP(-A28/パラメータ!$B$6)</f>
        <v/>
      </c>
      <c r="C28" s="29" t="n">
        <v>0.04246101869293173</v>
      </c>
    </row>
    <row r="29">
      <c r="A29" s="19" t="n">
        <v>253.832348</v>
      </c>
      <c r="B29" s="26">
        <f>パラメータ!$B$5*EXP(-A29/パラメータ!$B$6)</f>
        <v/>
      </c>
      <c r="C29" s="29" t="n">
        <v>0.03701159645495886</v>
      </c>
    </row>
    <row r="30">
      <c r="A30" s="19" t="n">
        <v>264.408696</v>
      </c>
      <c r="B30" s="26">
        <f>パラメータ!$B$5*EXP(-A30/パラメータ!$B$6)</f>
        <v/>
      </c>
      <c r="C30" s="29" t="n">
        <v>0.03226154987121769</v>
      </c>
    </row>
    <row r="31">
      <c r="A31" s="19" t="n">
        <v>274.985043</v>
      </c>
      <c r="B31" s="26">
        <f>パラメータ!$B$5*EXP(-A31/パラメータ!$B$6)</f>
        <v/>
      </c>
      <c r="C31" s="29" t="n">
        <v>0.02812112148038988</v>
      </c>
    </row>
    <row r="32">
      <c r="A32" s="19" t="n">
        <v>285.561391</v>
      </c>
      <c r="B32" s="26">
        <f>パラメータ!$B$5*EXP(-A32/パラメータ!$B$6)</f>
        <v/>
      </c>
      <c r="C32" s="29" t="n">
        <v>0.02451207324110488</v>
      </c>
    </row>
    <row r="33">
      <c r="A33" s="19" t="n">
        <v>296.137739</v>
      </c>
      <c r="B33" s="26">
        <f>パラメータ!$B$5*EXP(-A33/パラメータ!$B$6)</f>
        <v/>
      </c>
      <c r="C33" s="29" t="n">
        <v>0.02136620813633922</v>
      </c>
    </row>
    <row r="34">
      <c r="A34" s="19" t="n">
        <v>306.714087</v>
      </c>
      <c r="B34" s="26">
        <f>パラメータ!$B$5*EXP(-A34/パラメータ!$B$6)</f>
        <v/>
      </c>
      <c r="C34" s="29" t="n">
        <v>0.01862408151424039</v>
      </c>
    </row>
    <row r="35">
      <c r="A35" s="19" t="n">
        <v>317.290435</v>
      </c>
      <c r="B35" s="26">
        <f>パラメータ!$B$5*EXP(-A35/パラメータ!$B$6)</f>
        <v/>
      </c>
      <c r="C35" s="29" t="n">
        <v>0.01623387781471362</v>
      </c>
    </row>
    <row r="36">
      <c r="A36" s="19" t="n">
        <v>327.866783</v>
      </c>
      <c r="B36" s="26">
        <f>パラメータ!$B$5*EXP(-A36/パラメータ!$B$6)</f>
        <v/>
      </c>
      <c r="C36" s="29" t="n">
        <v>0.01415043145625964</v>
      </c>
    </row>
    <row r="37">
      <c r="A37" s="19" t="n">
        <v>338.44313</v>
      </c>
      <c r="B37" s="26">
        <f>パラメータ!$B$5*EXP(-A37/パラメータ!$B$6)</f>
        <v/>
      </c>
      <c r="C37" s="29" t="n">
        <v>0.01233437338162168</v>
      </c>
    </row>
    <row r="38">
      <c r="A38" s="19" t="n">
        <v>349.019478</v>
      </c>
      <c r="B38" s="26">
        <f>パラメータ!$B$5*EXP(-A38/パラメータ!$B$6)</f>
        <v/>
      </c>
      <c r="C38" s="29" t="n">
        <v>0.01075138713526348</v>
      </c>
    </row>
    <row r="39">
      <c r="A39" s="19" t="n">
        <v>359.595826</v>
      </c>
      <c r="B39" s="26">
        <f>パラメータ!$B$5*EXP(-A39/パラメータ!$B$6)</f>
        <v/>
      </c>
      <c r="C39" s="29" t="n">
        <v>0.009371560415427534</v>
      </c>
    </row>
    <row r="40">
      <c r="A40" s="19" t="n">
        <v>370.172174</v>
      </c>
      <c r="B40" s="26">
        <f>パラメータ!$B$5*EXP(-A40/パラメータ!$B$6)</f>
        <v/>
      </c>
      <c r="C40" s="29" t="n">
        <v>0.008168819847622031</v>
      </c>
    </row>
    <row r="41">
      <c r="A41" s="19" t="n">
        <v>380.748522</v>
      </c>
      <c r="B41" s="26">
        <f>パラメータ!$B$5*EXP(-A41/パラメータ!$B$6)</f>
        <v/>
      </c>
      <c r="C41" s="29" t="n">
        <v>0.007120438298946749</v>
      </c>
    </row>
    <row r="42">
      <c r="A42" s="19" t="n">
        <v>391.32487</v>
      </c>
      <c r="B42" s="26">
        <f>パラメータ!$B$5*EXP(-A42/パラメータ!$B$6)</f>
        <v/>
      </c>
      <c r="C42" s="29" t="n">
        <v>0.006206605423409702</v>
      </c>
    </row>
    <row r="43">
      <c r="A43" s="19" t="n">
        <v>401.901217</v>
      </c>
      <c r="B43" s="26">
        <f>パラメータ!$B$5*EXP(-A43/パラメータ!$B$6)</f>
        <v/>
      </c>
      <c r="C43" s="29" t="n">
        <v>0.005410053323205806</v>
      </c>
    </row>
    <row r="44">
      <c r="A44" s="19" t="n">
        <v>412.477565</v>
      </c>
      <c r="B44" s="26">
        <f>パラメータ!$B$5*EXP(-A44/パラメータ!$B$6)</f>
        <v/>
      </c>
      <c r="C44" s="29" t="n">
        <v>0.004715730252407588</v>
      </c>
    </row>
    <row r="45">
      <c r="A45" s="19" t="n">
        <v>423.053913</v>
      </c>
      <c r="B45" s="26">
        <f>パラメータ!$B$5*EXP(-A45/パラメータ!$B$6)</f>
        <v/>
      </c>
      <c r="C45" s="29" t="n">
        <v>0.004110516197332904</v>
      </c>
    </row>
    <row r="46">
      <c r="A46" s="19" t="n">
        <v>433.630261</v>
      </c>
      <c r="B46" s="26">
        <f>パラメータ!$B$5*EXP(-A46/パラメータ!$B$6)</f>
        <v/>
      </c>
      <c r="C46" s="29" t="n">
        <v>0.003582974959161377</v>
      </c>
    </row>
    <row r="47">
      <c r="A47" s="19" t="n">
        <v>444.206609</v>
      </c>
      <c r="B47" s="26">
        <f>パラメータ!$B$5*EXP(-A47/パラメータ!$B$6)</f>
        <v/>
      </c>
      <c r="C47" s="29" t="n">
        <v>0.003123138054122539</v>
      </c>
    </row>
    <row r="48">
      <c r="A48" s="19" t="n">
        <v>454.782957</v>
      </c>
      <c r="B48" s="26">
        <f>パラメータ!$B$5*EXP(-A48/パラメータ!$B$6)</f>
        <v/>
      </c>
      <c r="C48" s="29" t="n">
        <v>0.002722316347807053</v>
      </c>
    </row>
    <row r="49">
      <c r="A49" s="19" t="n">
        <v>465.359304</v>
      </c>
      <c r="B49" s="26">
        <f>パラメータ!$B$5*EXP(-A49/パラメータ!$B$6)</f>
        <v/>
      </c>
      <c r="C49" s="29" t="n">
        <v>0.002372935864219966</v>
      </c>
    </row>
    <row r="50">
      <c r="A50" s="19" t="n">
        <v>475.935652</v>
      </c>
      <c r="B50" s="26">
        <f>パラメータ!$B$5*EXP(-A50/パラメータ!$B$6)</f>
        <v/>
      </c>
      <c r="C50" s="29" t="n">
        <v>0.002068394667003793</v>
      </c>
    </row>
    <row r="51">
      <c r="A51" s="19" t="n">
        <v>486.512</v>
      </c>
      <c r="B51" s="26">
        <f>パラメータ!$B$5*EXP(-A51/パラメータ!$B$6)</f>
        <v/>
      </c>
      <c r="C51" s="29" t="n">
        <v>0.001802938108441498</v>
      </c>
    </row>
    <row r="52">
      <c r="A52" s="19" t="n">
        <v>497.088348</v>
      </c>
      <c r="B52" s="26">
        <f>パラメータ!$B$5*EXP(-A52/パラメータ!$B$6)</f>
        <v/>
      </c>
      <c r="C52" s="29" t="n">
        <v>0.001571550088929254</v>
      </c>
    </row>
    <row r="53">
      <c r="A53" s="19" t="n">
        <v>507.664696</v>
      </c>
      <c r="B53" s="26">
        <f>パラメータ!$B$5*EXP(-A53/パラメータ!$B$6)</f>
        <v/>
      </c>
      <c r="C53" s="29" t="n">
        <v>0.001369858272144723</v>
      </c>
    </row>
    <row r="54">
      <c r="A54" s="19" t="n">
        <v>518.241043</v>
      </c>
      <c r="B54" s="26">
        <f>パラメータ!$B$5*EXP(-A54/パラメータ!$B$6)</f>
        <v/>
      </c>
      <c r="C54" s="29" t="n">
        <v>0.001194051464845039</v>
      </c>
    </row>
    <row r="55">
      <c r="A55" s="19" t="n">
        <v>528.817391</v>
      </c>
      <c r="B55" s="26">
        <f>パラメータ!$B$5*EXP(-A55/パラメータ!$B$6)</f>
        <v/>
      </c>
      <c r="C55" s="29" t="n">
        <v>0.001040807600093066</v>
      </c>
    </row>
    <row r="57">
      <c r="A57" s="33" t="inlineStr">
        <is>
          <t>各点の解説</t>
        </is>
      </c>
    </row>
    <row r="58" ht="28" customHeight="1">
      <c r="A58" s="4" t="inlineStr">
        <is>
          <t>地点</t>
        </is>
      </c>
      <c r="B58" s="4" t="inlineStr">
        <is>
          <t>t_eq [cm]</t>
        </is>
      </c>
      <c r="C58" s="4" t="inlineStr">
        <is>
          <t>相対</t>
        </is>
      </c>
      <c r="D58" s="4" t="inlineStr">
        <is>
          <t>理論</t>
        </is>
      </c>
      <c r="E58" s="4" t="inlineStr">
        <is>
          <t>解説</t>
        </is>
      </c>
    </row>
    <row r="59">
      <c r="A59" s="9">
        <f>F5</f>
        <v/>
      </c>
      <c r="B59" s="11">
        <f>G5</f>
        <v/>
      </c>
      <c r="C59" s="12">
        <f>I5</f>
        <v/>
      </c>
      <c r="D59" s="12">
        <f>J5</f>
        <v/>
      </c>
      <c r="E59" s="9">
        <f>L5</f>
        <v/>
      </c>
    </row>
    <row r="60">
      <c r="A60" s="9">
        <f>F6</f>
        <v/>
      </c>
      <c r="B60" s="11">
        <f>G6</f>
        <v/>
      </c>
      <c r="C60" s="12">
        <f>I6</f>
        <v/>
      </c>
      <c r="D60" s="12">
        <f>J6</f>
        <v/>
      </c>
      <c r="E60" s="9">
        <f>L6</f>
        <v/>
      </c>
    </row>
    <row r="61">
      <c r="A61" s="9">
        <f>F7</f>
        <v/>
      </c>
      <c r="B61" s="11">
        <f>G7</f>
        <v/>
      </c>
      <c r="C61" s="12">
        <f>I7</f>
        <v/>
      </c>
      <c r="D61" s="12">
        <f>J7</f>
        <v/>
      </c>
      <c r="E61" s="9">
        <f>L7</f>
        <v/>
      </c>
    </row>
    <row r="62">
      <c r="A62" s="9">
        <f>F8</f>
        <v/>
      </c>
      <c r="B62" s="11">
        <f>G8</f>
        <v/>
      </c>
      <c r="C62" s="12">
        <f>I8</f>
        <v/>
      </c>
      <c r="D62" s="12">
        <f>J8</f>
        <v/>
      </c>
      <c r="E62" s="9">
        <f>L8</f>
        <v/>
      </c>
    </row>
    <row r="63">
      <c r="A63" s="9">
        <f>F9</f>
        <v/>
      </c>
      <c r="B63" s="11">
        <f>G9</f>
        <v/>
      </c>
      <c r="C63" s="12">
        <f>I9</f>
        <v/>
      </c>
      <c r="D63" s="12">
        <f>J9</f>
        <v/>
      </c>
      <c r="E63" s="9">
        <f>L9</f>
        <v/>
      </c>
    </row>
    <row r="65">
      <c r="A65" s="22" t="inlineStr">
        <is>
          <t>読み方</t>
        </is>
      </c>
    </row>
    <row r="66">
      <c r="A66" s="14" t="inlineStr">
        <is>
          <t>灰色の曲線が理論減衰。色付き点が測定。linacは理論に近く、PF/BT/KEKBは理論より高い（単純遮蔽だけでは説明しきれない成分がある）。</t>
        </is>
      </c>
    </row>
  </sheetData>
  <mergeCells count="1">
    <mergeCell ref="A66:E6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トラブルシュート</t>
        </is>
      </c>
    </row>
    <row r="3">
      <c r="A3" s="34" t="inlineStr">
        <is>
          <t>・グラフは「減衰曲線」シート。タイトル・軸・凡例は日本語。各地点は色分けされ凡例に名前が出る。</t>
        </is>
      </c>
    </row>
    <row r="4">
      <c r="A4" s="34" t="inlineStr">
        <is>
          <t>・各点の解説はグラフ下の表（地点・相対・理論・解説）を参照。</t>
        </is>
      </c>
    </row>
    <row r="5">
      <c r="A5" s="34" t="inlineStr">
        <is>
          <t>・本物の数式は水色セル（例: 測定点!H5 =パラメータ!$B$5*EXP(-G5/パラメータ!$B$6)）。</t>
        </is>
      </c>
    </row>
    <row r="6">
      <c r="A6" s="34" t="inlineStr">
        <is>
          <t>・PNG図: figures/11_全地点_等価コンクリート.png。理論は A=A0·exp(-x/77)、xは等価コンクリート厚[cm]。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2026-08-20T21:34:30Z</dcterms:created>
  <dcterms:modified xsi:type="dcterms:W3CDTF">2026-08-20T21:34:30Z</dcterms:modified>
</cp:coreProperties>
</file>